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strt\Desktop\B VISIBLE\08 - August\234 Clark Avenue\Estimate\"/>
    </mc:Choice>
  </mc:AlternateContent>
  <xr:revisionPtr revIDLastSave="0" documentId="13_ncr:1_{4F7734D8-1D6E-470A-BC8F-ACEE575B97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gnage Schedule" sheetId="2" r:id="rId1"/>
    <sheet name="Estimating Sheet" sheetId="3" r:id="rId2"/>
    <sheet name="Rate Catalog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2" l="1"/>
  <c r="F11" i="3"/>
  <c r="I9" i="3"/>
  <c r="I10" i="3"/>
  <c r="I15" i="3"/>
  <c r="I19" i="3"/>
  <c r="I20" i="3"/>
  <c r="I22" i="3"/>
  <c r="I33" i="3"/>
  <c r="D8" i="2" l="1"/>
  <c r="D9" i="2"/>
  <c r="D13" i="2"/>
  <c r="D17" i="2"/>
  <c r="D18" i="2"/>
  <c r="D19" i="2"/>
  <c r="D20" i="2"/>
  <c r="D22" i="2"/>
  <c r="D23" i="2"/>
  <c r="F109" i="3" s="1"/>
  <c r="I109" i="3" s="1"/>
  <c r="D24" i="2"/>
  <c r="F28" i="3" s="1"/>
  <c r="I28" i="3" s="1"/>
  <c r="D25" i="2"/>
  <c r="F39" i="3" s="1"/>
  <c r="I39" i="3" s="1"/>
  <c r="F30" i="3"/>
  <c r="I30" i="3" s="1"/>
  <c r="D27" i="2"/>
  <c r="D28" i="2"/>
  <c r="D21" i="2"/>
  <c r="D32" i="2"/>
  <c r="D33" i="2"/>
  <c r="D34" i="2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F165" i="3"/>
  <c r="I165" i="3" s="1"/>
  <c r="F164" i="3"/>
  <c r="I164" i="3" s="1"/>
  <c r="F154" i="3"/>
  <c r="I154" i="3" s="1"/>
  <c r="F153" i="3"/>
  <c r="I153" i="3" s="1"/>
  <c r="F141" i="3"/>
  <c r="I141" i="3" s="1"/>
  <c r="F140" i="3"/>
  <c r="I140" i="3" s="1"/>
  <c r="F128" i="3"/>
  <c r="I128" i="3" s="1"/>
  <c r="F127" i="3"/>
  <c r="I127" i="3" s="1"/>
  <c r="F119" i="3"/>
  <c r="I119" i="3" s="1"/>
  <c r="F115" i="3"/>
  <c r="I115" i="3" s="1"/>
  <c r="F114" i="3"/>
  <c r="I114" i="3" s="1"/>
  <c r="F106" i="3"/>
  <c r="I106" i="3" s="1"/>
  <c r="F102" i="3"/>
  <c r="I102" i="3" s="1"/>
  <c r="F101" i="3"/>
  <c r="I101" i="3" s="1"/>
  <c r="F98" i="3"/>
  <c r="I98" i="3" s="1"/>
  <c r="F93" i="3"/>
  <c r="I93" i="3" s="1"/>
  <c r="F89" i="3"/>
  <c r="I89" i="3" s="1"/>
  <c r="F88" i="3"/>
  <c r="I88" i="3" s="1"/>
  <c r="F82" i="3"/>
  <c r="I82" i="3" s="1"/>
  <c r="F80" i="3"/>
  <c r="I80" i="3" s="1"/>
  <c r="F76" i="3"/>
  <c r="I76" i="3" s="1"/>
  <c r="F75" i="3"/>
  <c r="I75" i="3" s="1"/>
  <c r="F72" i="3"/>
  <c r="I72" i="3" s="1"/>
  <c r="F68" i="3"/>
  <c r="I68" i="3" s="1"/>
  <c r="F67" i="3"/>
  <c r="I67" i="3" s="1"/>
  <c r="F63" i="3"/>
  <c r="I63" i="3" s="1"/>
  <c r="F62" i="3"/>
  <c r="I62" i="3" s="1"/>
  <c r="F59" i="3"/>
  <c r="I59" i="3" s="1"/>
  <c r="F56" i="3"/>
  <c r="I56" i="3" s="1"/>
  <c r="F54" i="3"/>
  <c r="I54" i="3" s="1"/>
  <c r="F53" i="3"/>
  <c r="I53" i="3" s="1"/>
  <c r="F50" i="3"/>
  <c r="I50" i="3" s="1"/>
  <c r="F49" i="3"/>
  <c r="I49" i="3" s="1"/>
  <c r="F46" i="3"/>
  <c r="I46" i="3" s="1"/>
  <c r="F44" i="3"/>
  <c r="I44" i="3" s="1"/>
  <c r="F42" i="3"/>
  <c r="I42" i="3" s="1"/>
  <c r="F41" i="3"/>
  <c r="I41" i="3" s="1"/>
  <c r="F36" i="3"/>
  <c r="I36" i="3" s="1"/>
  <c r="F35" i="3"/>
  <c r="I35" i="3" s="1"/>
  <c r="F32" i="3"/>
  <c r="I32" i="3" s="1"/>
  <c r="F31" i="3"/>
  <c r="I31" i="3" s="1"/>
  <c r="N27" i="3"/>
  <c r="N26" i="3"/>
  <c r="N25" i="3"/>
  <c r="N23" i="3"/>
  <c r="F23" i="3"/>
  <c r="I23" i="3" s="1"/>
  <c r="N22" i="3"/>
  <c r="N21" i="3"/>
  <c r="N20" i="3"/>
  <c r="N19" i="3"/>
  <c r="N18" i="3"/>
  <c r="F18" i="3"/>
  <c r="I18" i="3" s="1"/>
  <c r="N17" i="3"/>
  <c r="F17" i="3"/>
  <c r="I17" i="3" s="1"/>
  <c r="N16" i="3"/>
  <c r="N15" i="3"/>
  <c r="N14" i="3"/>
  <c r="N13" i="3"/>
  <c r="N12" i="3"/>
  <c r="N10" i="3"/>
  <c r="N8" i="3"/>
  <c r="F8" i="3"/>
  <c r="I8" i="3" s="1"/>
  <c r="N7" i="3"/>
  <c r="E41" i="2"/>
  <c r="E40" i="2"/>
  <c r="E34" i="2"/>
  <c r="E33" i="2"/>
  <c r="F87" i="3"/>
  <c r="I87" i="3" s="1"/>
  <c r="E21" i="2"/>
  <c r="F198" i="3"/>
  <c r="I198" i="3" s="1"/>
  <c r="F92" i="3"/>
  <c r="I92" i="3" s="1"/>
  <c r="E27" i="2"/>
  <c r="E23" i="2"/>
  <c r="F160" i="3"/>
  <c r="I160" i="3" s="1"/>
  <c r="F45" i="3"/>
  <c r="I45" i="3" s="1"/>
  <c r="E20" i="2"/>
  <c r="F124" i="3"/>
  <c r="I124" i="3" s="1"/>
  <c r="F95" i="3"/>
  <c r="I95" i="3" s="1"/>
  <c r="F157" i="3"/>
  <c r="I157" i="3" s="1"/>
  <c r="E17" i="2"/>
  <c r="F21" i="3"/>
  <c r="I21" i="3" s="1"/>
  <c r="E9" i="2"/>
  <c r="F29" i="3" l="1"/>
  <c r="I29" i="3" s="1"/>
  <c r="E25" i="2"/>
  <c r="F57" i="3"/>
  <c r="I57" i="3" s="1"/>
  <c r="F83" i="3"/>
  <c r="I83" i="3" s="1"/>
  <c r="F122" i="3"/>
  <c r="I122" i="3" s="1"/>
  <c r="F96" i="3"/>
  <c r="I96" i="3" s="1"/>
  <c r="F137" i="3"/>
  <c r="I137" i="3" s="1"/>
  <c r="F70" i="3"/>
  <c r="I70" i="3" s="1"/>
  <c r="E26" i="2"/>
  <c r="F71" i="3"/>
  <c r="I71" i="3" s="1"/>
  <c r="F145" i="3"/>
  <c r="I145" i="3" s="1"/>
  <c r="F136" i="3"/>
  <c r="I136" i="3" s="1"/>
  <c r="F58" i="3"/>
  <c r="I58" i="3" s="1"/>
  <c r="F25" i="3"/>
  <c r="I25" i="3" s="1"/>
  <c r="F123" i="3"/>
  <c r="I123" i="3" s="1"/>
  <c r="F84" i="3"/>
  <c r="I84" i="3" s="1"/>
  <c r="F110" i="3"/>
  <c r="I110" i="3" s="1"/>
  <c r="E22" i="2"/>
  <c r="F97" i="3"/>
  <c r="I97" i="3" s="1"/>
  <c r="F16" i="3"/>
  <c r="I16" i="3" s="1"/>
  <c r="F152" i="3"/>
  <c r="I152" i="3" s="1"/>
  <c r="F113" i="3"/>
  <c r="I113" i="3" s="1"/>
  <c r="F139" i="3"/>
  <c r="I139" i="3" s="1"/>
  <c r="F100" i="3"/>
  <c r="I100" i="3" s="1"/>
  <c r="F61" i="3"/>
  <c r="I61" i="3" s="1"/>
  <c r="F163" i="3"/>
  <c r="I163" i="3" s="1"/>
  <c r="E32" i="2"/>
  <c r="E35" i="2" s="1"/>
  <c r="F126" i="3"/>
  <c r="I126" i="3" s="1"/>
  <c r="F74" i="3"/>
  <c r="I74" i="3" s="1"/>
  <c r="E24" i="2"/>
  <c r="F148" i="3"/>
  <c r="I148" i="3" s="1"/>
  <c r="F133" i="3"/>
  <c r="I133" i="3" s="1"/>
  <c r="F94" i="3"/>
  <c r="I94" i="3" s="1"/>
  <c r="F120" i="3"/>
  <c r="I120" i="3" s="1"/>
  <c r="F81" i="3"/>
  <c r="I81" i="3" s="1"/>
  <c r="F24" i="3"/>
  <c r="I24" i="3" s="1"/>
  <c r="I11" i="3"/>
  <c r="F158" i="3"/>
  <c r="I158" i="3" s="1"/>
  <c r="F107" i="3"/>
  <c r="I107" i="3" s="1"/>
  <c r="F55" i="3"/>
  <c r="I55" i="3" s="1"/>
  <c r="F34" i="3"/>
  <c r="I34" i="3" s="1"/>
  <c r="F48" i="3"/>
  <c r="I48" i="3" s="1"/>
  <c r="E8" i="2"/>
  <c r="E10" i="2" s="1"/>
  <c r="F7" i="3"/>
  <c r="I7" i="3" s="1"/>
  <c r="F121" i="3"/>
  <c r="I121" i="3" s="1"/>
  <c r="F43" i="3"/>
  <c r="I43" i="3" s="1"/>
  <c r="E19" i="2"/>
  <c r="F108" i="3"/>
  <c r="I108" i="3" s="1"/>
  <c r="F69" i="3"/>
  <c r="I69" i="3" s="1"/>
  <c r="F159" i="3"/>
  <c r="I159" i="3" s="1"/>
  <c r="F149" i="3"/>
  <c r="I149" i="3" s="1"/>
  <c r="F134" i="3"/>
  <c r="I134" i="3" s="1"/>
  <c r="F26" i="3"/>
  <c r="I26" i="3" s="1"/>
  <c r="F13" i="3"/>
  <c r="I13" i="3" s="1"/>
  <c r="F118" i="3"/>
  <c r="I118" i="3" s="1"/>
  <c r="F79" i="3"/>
  <c r="I79" i="3" s="1"/>
  <c r="F150" i="3"/>
  <c r="I150" i="3" s="1"/>
  <c r="F105" i="3"/>
  <c r="I105" i="3" s="1"/>
  <c r="F66" i="3"/>
  <c r="I66" i="3" s="1"/>
  <c r="F131" i="3"/>
  <c r="I131" i="3" s="1"/>
  <c r="E28" i="2"/>
  <c r="F40" i="3"/>
  <c r="I40" i="3" s="1"/>
  <c r="E13" i="2"/>
  <c r="E14" i="2" s="1"/>
  <c r="F146" i="3"/>
  <c r="I146" i="3" s="1"/>
  <c r="F161" i="3"/>
  <c r="I161" i="3" s="1"/>
  <c r="F174" i="3"/>
  <c r="I174" i="3" s="1"/>
  <c r="F183" i="3"/>
  <c r="I183" i="3" s="1"/>
  <c r="F192" i="3"/>
  <c r="I192" i="3" s="1"/>
  <c r="F201" i="3"/>
  <c r="I201" i="3" s="1"/>
  <c r="E18" i="2"/>
  <c r="F14" i="3"/>
  <c r="I14" i="3" s="1"/>
  <c r="F27" i="3"/>
  <c r="I27" i="3" s="1"/>
  <c r="F168" i="3"/>
  <c r="I168" i="3" s="1"/>
  <c r="F177" i="3"/>
  <c r="I177" i="3" s="1"/>
  <c r="F186" i="3"/>
  <c r="I186" i="3" s="1"/>
  <c r="F195" i="3"/>
  <c r="I195" i="3" s="1"/>
  <c r="F111" i="3"/>
  <c r="I111" i="3" s="1"/>
  <c r="F132" i="3"/>
  <c r="I132" i="3" s="1"/>
  <c r="F135" i="3"/>
  <c r="I135" i="3" s="1"/>
  <c r="F144" i="3"/>
  <c r="I144" i="3" s="1"/>
  <c r="F147" i="3"/>
  <c r="I147" i="3" s="1"/>
  <c r="F12" i="3"/>
  <c r="I12" i="3" s="1"/>
  <c r="F85" i="3"/>
  <c r="I85" i="3" s="1"/>
  <c r="F171" i="3"/>
  <c r="I171" i="3" s="1"/>
  <c r="F180" i="3"/>
  <c r="I180" i="3" s="1"/>
  <c r="F189" i="3"/>
  <c r="I189" i="3" s="1"/>
  <c r="E29" i="2" l="1"/>
  <c r="E37" i="2" s="1"/>
  <c r="E42" i="2" s="1"/>
  <c r="E44" i="2" s="1"/>
  <c r="E45" i="2" s="1"/>
</calcChain>
</file>

<file path=xl/sharedStrings.xml><?xml version="1.0" encoding="utf-8"?>
<sst xmlns="http://schemas.openxmlformats.org/spreadsheetml/2006/main" count="775" uniqueCount="198">
  <si>
    <t>234 CLARKSON AVENUE — DIVISION 10 14 00 SIGNAGE SCHEDULE</t>
  </si>
  <si>
    <t>Status Legend:</t>
  </si>
  <si>
    <t>Name</t>
  </si>
  <si>
    <t>Description</t>
  </si>
  <si>
    <t>Qty</t>
  </si>
  <si>
    <t>Price Each</t>
  </si>
  <si>
    <t>Extended Price</t>
  </si>
  <si>
    <t>Status</t>
  </si>
  <si>
    <t>Basis / Notes</t>
  </si>
  <si>
    <t>Exterior &amp; Building Identification</t>
  </si>
  <si>
    <t>Building ID</t>
  </si>
  <si>
    <t>Confirmed</t>
  </si>
  <si>
    <t>Standpipe / FDC Identification Sign (Assumed)</t>
  </si>
  <si>
    <t>Subtotal — Exterior &amp; Building Identification</t>
  </si>
  <si>
    <t>Site &amp; Roadway Signage</t>
  </si>
  <si>
    <t>ADA Accessible Parking</t>
  </si>
  <si>
    <t>Subtotal — Site &amp; Roadway Signage</t>
  </si>
  <si>
    <t>Interior Signage</t>
  </si>
  <si>
    <t>Elevator Evacuation Map</t>
  </si>
  <si>
    <t>Framed floor-specific evacuation/egress-route graphic posted in each elevator lobby, per NYC fire-safety/evacuation-plan provisions for R-2 occupancies. Not detailed in the Durukan package.</t>
  </si>
  <si>
    <t>Estimated</t>
  </si>
  <si>
    <t>Elevator Door Jamb Floor ID Sign</t>
  </si>
  <si>
    <t>Small tactile floor-number tag on the elevator hoistway door jamb at each landing, per ASME A17.1/NYC BC elevator accessibility provisions. Not detailed in the Durukan package.</t>
  </si>
  <si>
    <t>Elevator Lobby Floor Directory Signage</t>
  </si>
  <si>
    <t>Per Durukan “2nd Floor | Elevator Lobby Directory Signage” typical detail: 8" floor number + 1-1/4"/1" directory text + arrows, Octopus Products 28 Satin Nickel metal on black acrylic backing, 4'-6" AFF, at each stair/elevator core per floor.</t>
  </si>
  <si>
    <t>Utility &amp; Back-of-House ID Sign (w/ Hazard/Resticted-Access Signage)</t>
  </si>
  <si>
    <t>Combined room-ID + hazard/restricted-access sign at MEP/back-of-house spaces (Fire Pump Room, Water Room, Electrical Room, Telecom Room, Trash/Refuse Compactor, etc., per Cellar and 1st Floor CAD plans) where the room also warrants an “Authorized Personnel Only” or hazard designation. No dedicated detail sheet in the Durukan package — assumed matte acrylic room-ID sign with integrated pictogram/warning text.</t>
  </si>
  <si>
    <t>Utility &amp; Back-of-House ID Sign</t>
  </si>
  <si>
    <t>Standard room-ID sign (no hazard designation) at MEP/back-of-house spaces per Cellar through Roof CAD plans.</t>
  </si>
  <si>
    <t>Typical Hallway Directory Signage</t>
  </si>
  <si>
    <t>Per Durukan “Typical Hallway Directory Signage” detail: unit-range directional plaque w/ arrows, Octopus Products 28 Satin Nickel, 48" AFF, at apartment corridors.</t>
  </si>
  <si>
    <t>Lobby Floor Indicator Sign</t>
  </si>
  <si>
    <t>Per Durukan “Lobby | Elevator Lobby Signage” detail: 8" cutout floor number + 1" building/floor text, Octopus Products 28 Satin Nickel on black acrylic backing, 60" AFF, at the ground-floor elevator lobby.</t>
  </si>
  <si>
    <t>Amenity Room ID Signage</t>
  </si>
  <si>
    <t>Laundry Signage ("Loads of Fun")</t>
  </si>
  <si>
    <t>Per Durukan “Laundry Signage” detail: 10" matte white acrylic cutout letters (6' VIF width), 1st floor laundry room.</t>
  </si>
  <si>
    <t>Co-Working Private Pod Signage</t>
  </si>
  <si>
    <t>Per Durukan “Co-Working Private Pod Signage” detail: circular wood-tone panel, raised characters + Braille, 48" AFF, POD 1/2/3.</t>
  </si>
  <si>
    <t>Apartment Entry Signage</t>
  </si>
  <si>
    <t>Hazard/Restricted Access Signage</t>
  </si>
  <si>
    <t>Standalone hazard/restricted-access signage (e.g., “Authorized Personnel Only,” electrical hazard) at MEP/back-of-house and roof spaces, separate from the combined Utility &amp; BOH ID sign type above.</t>
  </si>
  <si>
    <t>Subtotal — Interior Signage</t>
  </si>
  <si>
    <t>Egress &amp; Life Safety Signage</t>
  </si>
  <si>
    <t>Illuminated EXIT Signage</t>
  </si>
  <si>
    <t>Stairwell Floor-Level ID Plaque</t>
  </si>
  <si>
    <t>Tactile stairway ID sign at each stair floor landing (floor level, stair designation, roof-access indication) per NYC BC 1022.9-type stairway signage requirements, at all four stairs (A, B, C, D). Not detailed in the Durukan package.</t>
  </si>
  <si>
    <t>Tactile/Braille Stair Door ID</t>
  </si>
  <si>
    <t>ADA/ICC A117.1 703 tactile + Braille “STAIR” signage at each stair door leaf, at all four stairs. Not detailed in the Durukan package, but follows the same raised-character + Braille standard shown on the ADA Signage Installation Diagram page.</t>
  </si>
  <si>
    <t>Subtotal — Egress &amp; Life Safety Signage</t>
  </si>
  <si>
    <t>GRAND TOTAL (Priced Items Only)</t>
  </si>
  <si>
    <t>Design, Installation &amp; Sales Tax</t>
  </si>
  <si>
    <t>Design &amp; Layout / File Setup</t>
  </si>
  <si>
    <t>Project file setup, layout, and artwork preparation across 18 sign types spanning Cellar through Roof (11 levels, 2 connected buildings).</t>
  </si>
  <si>
    <t>Installation Labor</t>
  </si>
  <si>
    <t>Installation labor, priced per crew-hour across all 496 signs, Cellar through Roof. Lift rental, electrical work, and permits excluded (customer to provide/hire separately).</t>
  </si>
  <si>
    <t>Sales Tax Rate</t>
  </si>
  <si>
    <t>Sales Tax</t>
  </si>
  <si>
    <t>TOTAL INVESTMENT</t>
  </si>
  <si>
    <t>234 CLARKSON AVE.</t>
  </si>
  <si>
    <t>BROOKLYN, NY 11222</t>
  </si>
  <si>
    <t>SIGNAGES QUANTITY TAKEOFF</t>
  </si>
  <si>
    <t>Division 10 – Specialties | Section 10 14 00 – Signage</t>
  </si>
  <si>
    <t>Units</t>
  </si>
  <si>
    <t>Cost Each</t>
  </si>
  <si>
    <t>Markup %</t>
  </si>
  <si>
    <t>Price Total</t>
  </si>
  <si>
    <t>QUANTITY SUMMARY</t>
  </si>
  <si>
    <t>EA</t>
  </si>
  <si>
    <t>Cellar Level</t>
  </si>
  <si>
    <t>1st Floor</t>
  </si>
  <si>
    <t>2nd Floor</t>
  </si>
  <si>
    <t>3rd Floor</t>
  </si>
  <si>
    <t>4th Floor</t>
  </si>
  <si>
    <t>5th Floor</t>
  </si>
  <si>
    <t>6th Floor</t>
  </si>
  <si>
    <t>Seventh Floor</t>
  </si>
  <si>
    <t>8th Floor</t>
  </si>
  <si>
    <t>9th Floor</t>
  </si>
  <si>
    <t>10th Floor</t>
  </si>
  <si>
    <t>Roof Level</t>
  </si>
  <si>
    <t>Item ID</t>
  </si>
  <si>
    <t>Category</t>
  </si>
  <si>
    <t>Sign Type</t>
  </si>
  <si>
    <t>Standard Size</t>
  </si>
  <si>
    <t>Material / Construction</t>
  </si>
  <si>
    <t>Pricing Method</t>
  </si>
  <si>
    <t>Unit</t>
  </si>
  <si>
    <t>Unit Price</t>
  </si>
  <si>
    <t>Minimum Price</t>
  </si>
  <si>
    <t>Calculation Rule</t>
  </si>
  <si>
    <t>Active</t>
  </si>
  <si>
    <t>Notes</t>
  </si>
  <si>
    <t>Source Project / Vendor Quote Ref</t>
  </si>
  <si>
    <t>Price Date</t>
  </si>
  <si>
    <t>Install Included? (Y/N)</t>
  </si>
  <si>
    <t>Confirmed-for-Project? (Y/N)</t>
  </si>
  <si>
    <t>Quantity Break Pricing</t>
  </si>
  <si>
    <t>Lead Time</t>
  </si>
  <si>
    <t>Code Reference</t>
  </si>
  <si>
    <t>Freight / Delivery</t>
  </si>
  <si>
    <t>exterior-3d-pvc-letter-large</t>
  </si>
  <si>
    <t>Large 3D PVC Lettering - Painted by Code</t>
  </si>
  <si>
    <t>Over 20 to 30 high</t>
  </si>
  <si>
    <t>Exterior-grade PVC dimensional lettering, painted by code</t>
  </si>
  <si>
    <t>Per Letter</t>
  </si>
  <si>
    <t>Letter</t>
  </si>
  <si>
    <t>Character count x $100</t>
  </si>
  <si>
    <t>Sourced from the B Visible Bid Signage Pricing catalog (219 Harman St. project). Non-lighted, individually mounted exterior-grade PVC lettering; painted by code. | CLARKSON APPLICATION: Client-confirmed height: 2 ft (24"). At 24", this falls in the catalog's Large 3D PVC Lettering tier (over 20–30") at $100/letter — not the Small tier ($50/letter) originally assumed. 3 characters (“234”) × $100 = $300. Moved from Estimated to Confirmed: the pricing tier is now a direct catalog match on a real client-supplied dimension, though exact finish/mounting still has no source detail sheet.</t>
  </si>
  <si>
    <t>219 Harman St. — B Visible Bid Signage Pricing catalog</t>
  </si>
  <si>
    <t>Unknown (not dated in source catalog)</t>
  </si>
  <si>
    <t>N</t>
  </si>
  <si>
    <t>N — not vendor-quoted for 234 Clarkson Ave</t>
  </si>
  <si>
    <t>Not published in source catalog (flat-rate assumed at all quantities)</t>
  </si>
  <si>
    <t>Not published in source catalog</t>
  </si>
  <si>
    <t>—</t>
  </si>
  <si>
    <t>Not published — assume local delivery included</t>
  </si>
  <si>
    <t>fdc-sign</t>
  </si>
  <si>
    <t>Site &amp; Roadway</t>
  </si>
  <si>
    <t>FDC Sign</t>
  </si>
  <si>
    <t>Standard</t>
  </si>
  <si>
    <t>Printed rigid panel</t>
  </si>
  <si>
    <t>Fixed</t>
  </si>
  <si>
    <t>Each</t>
  </si>
  <si>
    <t>Qty x $25</t>
  </si>
  <si>
    <t>Sourced from the B Visible Bid Signage Pricing catalog. Production only. | CLARKSON APPLICATION: Not in the Durukan Division 10 package — per Fire Protection General Note #2, priced against the standard FDC Sign rate.</t>
  </si>
  <si>
    <t>NYC FC §912.4 / NFPA 14</t>
  </si>
  <si>
    <t>derived-evacuation-map</t>
  </si>
  <si>
    <t>Elevator Evacuation Map (Derived)</t>
  </si>
  <si>
    <t>10 x 12</t>
  </si>
  <si>
    <t>Printed/laminated panel, framed</t>
  </si>
  <si>
    <t>Qty x $85</t>
  </si>
  <si>
    <t>Sourced from the B Visible catalog's own ESTIMATOR-DERIVED row — anchored to their Stairwell Interior ID Sign ($85), the closest real comparable (multi-content, floor-specific life-safety plaque). | CLARKSON APPLICATION: Not detailed in the Durukan package — priced via the catalog's own derived Evacuation Map rate.</t>
  </si>
  <si>
    <t>— (fire-safety plan convention, R-2 occ.)</t>
  </si>
  <si>
    <t>elevator-jamb-floor-id</t>
  </si>
  <si>
    <t>Elevator Door Jamb Floor ID</t>
  </si>
  <si>
    <t>Raised characters and Braille</t>
  </si>
  <si>
    <t>Qty x $45</t>
  </si>
  <si>
    <t>Sourced from the B Visible Bid Signage Pricing catalog. | CLARKSON APPLICATION: Not detailed in the Durukan package — direct catalog match on scope and format.</t>
  </si>
  <si>
    <t>ASME A17.1 / NYC BC (elevator accessibility)</t>
  </si>
  <si>
    <t>derived-floor-directory-a</t>
  </si>
  <si>
    <t>Floor Directory Signage A (Derived)</t>
  </si>
  <si>
    <t>Acrylic plaque</t>
  </si>
  <si>
    <t>Qty x $50</t>
  </si>
  <si>
    <t>Sourced from the B Visible catalog's own ESTIMATOR-DERIVED row — anchored to their Facility ID Sign ($50), same size/format tier (single dominant graphic element on a standard plaque). | CLARKSON APPLICATION: Per Durukan “Elevator Lobby Floor Directory Signage” detail (satin-nickel cutout metal, floor number + directory text + arrows) — priced via the catalog's derived Floor Directory A rate as the closest comparable dominant-numeral plaque.</t>
  </si>
  <si>
    <t>utility-back-house-id</t>
  </si>
  <si>
    <t>Standard ADA</t>
  </si>
  <si>
    <t>Sourced from the B Visible Bid Signage Pricing catalog. Standard non-fancy ADA plaque. | CLARKSON APPLICATION: No combined ID + hazard product in the catalog — priced at the base Utility &amp; Back-of-House ID rate, same treatment as the Harman St. reference.</t>
  </si>
  <si>
    <t>tactile-exit</t>
  </si>
  <si>
    <t>Egress &amp; Life Safety</t>
  </si>
  <si>
    <t>Tactile EXIT Sign</t>
  </si>
  <si>
    <t>Raised letters and Braille</t>
  </si>
  <si>
    <t>Sourced from the B Visible Bid Signage Pricing catalog. Small wall-mounted EXIT sign. | CLARKSON APPLICATION: Building height of 105'-0" places this within NYC high-rise egress-marking thresholds. Priced here as the catalog's Tactile EXIT Sign (non-illuminated ADA plaque) — if an electrically illuminated fixture is also required, that is Electrical-trade scope, excluded from this signage estimate.</t>
  </si>
  <si>
    <t>NYC BC §1013 / §1013.4</t>
  </si>
  <si>
    <t>stairwell-interior-id</t>
  </si>
  <si>
    <t>Stairwell Interior ID Sign</t>
  </si>
  <si>
    <t>12 x 18</t>
  </si>
  <si>
    <t>Multi-line sign with Braille</t>
  </si>
  <si>
    <t>Sourced from the B Visible Bid Signage Pricing catalog. Includes floor, stair designation, floors served, and roof access copy. | CLARKSON APPLICATION: Direct catalog match — multi-line stairway ID plaque with floor/stair designation and roof-access copy.</t>
  </si>
  <si>
    <t>NYC BC §1023.9</t>
  </si>
  <si>
    <t>Sourced from the B Visible Bid Signage Pricing catalog. Small wall-mounted EXIT sign. | CLARKSON APPLICATION: Direct catalog match to the Tactile EXIT Sign rate — same small ADA tactile format.</t>
  </si>
  <si>
    <t>ada-parking-12x18</t>
  </si>
  <si>
    <t>ADA Accessible Parking Sign</t>
  </si>
  <si>
    <t>HIP reflective aluminum panel</t>
  </si>
  <si>
    <t>Sourced from the B Visible Bid Signage Pricing catalog. Standard 12 x 18 HIP reflective sign. | CLARKSON APPLICATION: Direct catalog match. Post- vs. wall-mounted condition pending Site/Civil drawings (not included in this set).</t>
  </si>
  <si>
    <t>ICC A117.1 / ADA parking signage</t>
  </si>
  <si>
    <t>Sourced from the B Visible Bid Signage Pricing catalog. Standard non-fancy ADA plaque. | CLARKSON APPLICATION: Direct catalog match — standard back-of-house room ID plaque.</t>
  </si>
  <si>
    <t>derived-floor-directory-b</t>
  </si>
  <si>
    <t>Floor Directory Signage B (Derived)</t>
  </si>
  <si>
    <t>Qty x $30</t>
  </si>
  <si>
    <t>Sourced from the B Visible catalog's own ESTIMATOR-DERIVED row — anchored to an ACTUAL invoiced rate for “Wayfaring EXIT Signs” (directional arrow + text) on a real B Visible estimate: $30 each. | CLARKSON APPLICATION: Per Durukan “Typical Hallway Directory Signage” detail (unit-range + arrows) — priced via the catalog's derived Floor Directory B rate, same directional-wayfinding format.</t>
  </si>
  <si>
    <t>Sourced from the B Visible catalog's own ESTIMATOR-DERIVED row — anchored to their Facility ID Sign ($50), same size/format tier (single dominant graphic element on a standard plaque). | CLARKSON APPLICATION: Per Durukan “Lobby | Elevator Lobby Signage” detail — priced via the catalog's derived Floor Directory A rate as the closest comparable dominant-numeral plaque.</t>
  </si>
  <si>
    <t>amenity-management-id</t>
  </si>
  <si>
    <t>Amenity &amp; Management ID Sign</t>
  </si>
  <si>
    <t>Sourced from the B Visible Bid Signage Pricing catalog. Standard non-fancy ADA plaque. | CLARKSON APPLICATION: Per Durukan “Amenity Signage” detail (icon + raised copy + Braille) — direct catalog match. Extends beyond the 5 rooms explicitly detailed by Durukan to other named common spaces per the architect's plans — see prior Critical Flags.</t>
  </si>
  <si>
    <t>ICC A117.1 §703 (ADA general)</t>
  </si>
  <si>
    <t>front-counter-acrylic-logo</t>
  </si>
  <si>
    <t>Front Counter Acrylic Logo Set</t>
  </si>
  <si>
    <t>Up to 25 x 5</t>
  </si>
  <si>
    <t>1/4 in dimensional acrylic letters or laser-cut acrylic logo badge</t>
  </si>
  <si>
    <t>Set</t>
  </si>
  <si>
    <t>Qty x $400</t>
  </si>
  <si>
    <t>Sourced from the B Visible Bid Signage Pricing catalog. Closest real comparable for oversized custom dimensional/cutout lettering; larger sizes or unusually complex artwork require a custom estimate. | CLARKSON APPLICATION: Per Durukan “Laundry Signage” detail (10" cutout acrylic letters) — no oversized-lettering product in the catalog; priced against the closest real comparable, the Front Counter Acrylic Logo Set.</t>
  </si>
  <si>
    <t>Sourced from the B Visible Bid Signage Pricing catalog. Standard non-fancy ADA plaque. | CLARKSON APPLICATION: Per Durukan “Co-Working Private Pod Signage” detail (circular, raised + Braille) — priced at the Amenity &amp; Management ID rate; format is circular rather than the catalog's standard rectangular plaque.</t>
  </si>
  <si>
    <t>residential-unit-id</t>
  </si>
  <si>
    <t>Residential Unit ID Sign</t>
  </si>
  <si>
    <t>Qty x $60</t>
  </si>
  <si>
    <t>Sourced from the B Visible Bid Signage Pricing catalog. Standard finished ADA unit plaque. | CLARKSON APPLICATION: Per Durukan “Apartment Entry” detail — direct catalog match. Qty (98) from the client-supplied floor-by-floor take-off.</t>
  </si>
  <si>
    <t>red-letter-utility-fire-room</t>
  </si>
  <si>
    <t>Red-Lettered Utility / Fire Room Sign</t>
  </si>
  <si>
    <t>Sourced from the B Visible Bid Signage Pricing catalog. White panel with red identification copy. | CLARKSON APPLICATION: Not detailed in the Durukan package — priced against the closest real comparable, the Red-Lettered Utility/Fire Room Sign.</t>
  </si>
  <si>
    <t>NYC BC §1010.1.9.4</t>
  </si>
  <si>
    <t xml:space="preserve">Brooklyn, NY 11222  </t>
  </si>
  <si>
    <t>Per Durukan “Apartment Entry” detail: raised unit number (2") + Braille, 48" AFF to Braille-plate center, at each apartment entry door.</t>
  </si>
  <si>
    <t>Exterior building address ID, three individual dimensional numerals reading “234,” mounted at the primary entrance.  size/finish assumed to echo the satin-nickel palette used on the interior directory signage (Lobby | Elevator Lobby Signage detail) — 2' cast-metal or high-density-urethane numerals, stud-mounted to the facade, pending an actual exterior sign detail.</t>
  </si>
  <si>
    <t>Approved metal “STANDPIPE” sign at the exterior Siamese fire department connection, per Fire Protection General Note #2. Not in the Durukan Division 10 package — quantity/scope assumed pending confirmation of trade responsibility</t>
  </si>
  <si>
    <t>Accessible/van-accessible parking ID signage at the 1st floor parking area, per ICC/ADA parking signage requirements. Post- vs. wall-mounted condition pending Site/Civil drawings</t>
  </si>
  <si>
    <t xml:space="preserve">Per Durukan “Amenity Signage” typical detail: icon + 5/8" raised copy + Braille, matte panel, at each named common/amenity room. </t>
  </si>
  <si>
    <t xml:space="preserve">Egress path exit signage at each floor. Building height of 105'-0" (Fire Protection titleblock) places this project within NYC high-rise egress-marking thresholds; quantity/distribution assumed to reflect Division 10 photoluminescent (self-luminous, UL924/ASTM E2073) exit signage rather than an electrically-connected fixture.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</si>
</sst>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%"/>
  </numFmts>
  <fonts count="1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i/>
      <sz val="8"/>
      <color rgb="FF595959"/>
      <name val="Arial"/>
    </font>
    <font>
      <b/>
      <sz val="16"/>
      <color rgb="FF1F3864"/>
      <name val="Arial"/>
    </font>
    <font>
      <sz val="10"/>
      <color rgb="FF595959"/>
      <name val="Arial"/>
    </font>
    <font>
      <b/>
      <sz val="9"/>
      <name val="Arial"/>
    </font>
    <font>
      <b/>
      <sz val="11"/>
      <color rgb="FFFFFFFF"/>
      <name val="Arial"/>
    </font>
    <font>
      <sz val="10"/>
      <name val="Arial"/>
    </font>
    <font>
      <sz val="10"/>
      <color rgb="FF0000FF"/>
      <name val="Arial"/>
    </font>
    <font>
      <b/>
      <sz val="10"/>
      <name val="Arial"/>
    </font>
    <font>
      <b/>
      <sz val="12"/>
      <color rgb="FFFFFFFF"/>
      <name val="Arial"/>
    </font>
    <font>
      <sz val="9"/>
      <color rgb="FF0000FF"/>
      <name val="Arial"/>
    </font>
    <font>
      <b/>
      <sz val="13"/>
      <color rgb="FFFFFFFF"/>
      <name val="Arial"/>
    </font>
    <font>
      <i/>
      <sz val="9"/>
      <color rgb="FF595959"/>
      <name val="Arial"/>
    </font>
    <font>
      <b/>
      <sz val="12"/>
      <name val="Arial"/>
    </font>
    <font>
      <i/>
      <sz val="9"/>
      <name val="Arial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2E5395"/>
      </patternFill>
    </fill>
    <fill>
      <patternFill patternType="solid">
        <fgColor rgb="FFF2F2F2"/>
      </patternFill>
    </fill>
    <fill>
      <patternFill patternType="solid">
        <fgColor rgb="FFF97316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/>
    <xf numFmtId="0" fontId="3" fillId="0" borderId="0" xfId="0" applyFont="1"/>
    <xf numFmtId="0" fontId="6" fillId="0" borderId="0" xfId="0" applyFont="1"/>
    <xf numFmtId="0" fontId="1" fillId="2" borderId="1" xfId="0" applyFont="1" applyFill="1" applyBorder="1"/>
    <xf numFmtId="0" fontId="8" fillId="0" borderId="1" xfId="0" applyFont="1" applyBorder="1" applyAlignment="1">
      <alignment wrapText="1"/>
    </xf>
    <xf numFmtId="0" fontId="9" fillId="0" borderId="1" xfId="0" applyFont="1" applyBorder="1"/>
    <xf numFmtId="164" fontId="8" fillId="0" borderId="1" xfId="0" applyNumberFormat="1" applyFont="1" applyBorder="1"/>
    <xf numFmtId="0" fontId="2" fillId="3" borderId="1" xfId="0" applyFont="1" applyFill="1" applyBorder="1" applyAlignment="1">
      <alignment horizontal="center"/>
    </xf>
    <xf numFmtId="0" fontId="0" fillId="6" borderId="1" xfId="0" applyFill="1" applyBorder="1"/>
    <xf numFmtId="164" fontId="10" fillId="6" borderId="1" xfId="0" applyNumberFormat="1" applyFont="1" applyFill="1" applyBorder="1"/>
    <xf numFmtId="0" fontId="2" fillId="4" borderId="1" xfId="0" applyFont="1" applyFill="1" applyBorder="1" applyAlignment="1">
      <alignment horizontal="center"/>
    </xf>
    <xf numFmtId="0" fontId="0" fillId="2" borderId="1" xfId="0" applyFill="1" applyBorder="1"/>
    <xf numFmtId="164" fontId="11" fillId="2" borderId="1" xfId="0" applyNumberFormat="1" applyFont="1" applyFill="1" applyBorder="1"/>
    <xf numFmtId="164" fontId="9" fillId="0" borderId="1" xfId="0" applyNumberFormat="1" applyFont="1" applyBorder="1"/>
    <xf numFmtId="164" fontId="0" fillId="0" borderId="1" xfId="0" applyNumberFormat="1" applyBorder="1"/>
    <xf numFmtId="165" fontId="12" fillId="0" borderId="0" xfId="0" applyNumberFormat="1" applyFont="1"/>
    <xf numFmtId="0" fontId="2" fillId="0" borderId="0" xfId="0" applyFont="1" applyAlignment="1">
      <alignment vertical="top" wrapText="1"/>
    </xf>
    <xf numFmtId="0" fontId="0" fillId="7" borderId="1" xfId="0" applyFill="1" applyBorder="1"/>
    <xf numFmtId="164" fontId="13" fillId="7" borderId="1" xfId="0" applyNumberFormat="1" applyFont="1" applyFill="1" applyBorder="1"/>
    <xf numFmtId="0" fontId="8" fillId="0" borderId="0" xfId="0" applyFont="1"/>
    <xf numFmtId="0" fontId="1" fillId="5" borderId="0" xfId="0" applyFont="1" applyFill="1"/>
    <xf numFmtId="0" fontId="15" fillId="0" borderId="0" xfId="0" applyFont="1"/>
    <xf numFmtId="0" fontId="10" fillId="0" borderId="0" xfId="0" applyFont="1"/>
    <xf numFmtId="0" fontId="16" fillId="0" borderId="0" xfId="0" applyFont="1"/>
    <xf numFmtId="0" fontId="1" fillId="2" borderId="0" xfId="0" applyFont="1" applyFill="1"/>
    <xf numFmtId="0" fontId="10" fillId="8" borderId="0" xfId="0" applyFont="1" applyFill="1"/>
    <xf numFmtId="0" fontId="0" fillId="8" borderId="0" xfId="0" applyFill="1"/>
    <xf numFmtId="0" fontId="2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12" fillId="0" borderId="0" xfId="0" applyFont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0" fontId="0" fillId="5" borderId="0" xfId="0" applyFill="1"/>
    <xf numFmtId="0" fontId="8" fillId="0" borderId="1" xfId="0" applyFont="1" applyBorder="1" applyAlignment="1">
      <alignment horizontal="left" wrapText="1" indent="1"/>
    </xf>
    <xf numFmtId="0" fontId="2" fillId="0" borderId="0" xfId="0" applyFont="1" applyFill="1" applyAlignment="1">
      <alignment horizontal="center"/>
    </xf>
    <xf numFmtId="0" fontId="13" fillId="7" borderId="1" xfId="0" applyFont="1" applyFill="1" applyBorder="1" applyAlignment="1">
      <alignment horizontal="right"/>
    </xf>
    <xf numFmtId="0" fontId="0" fillId="0" borderId="2" xfId="0" applyBorder="1"/>
    <xf numFmtId="0" fontId="0" fillId="0" borderId="3" xfId="0" applyBorder="1"/>
    <xf numFmtId="0" fontId="11" fillId="2" borderId="1" xfId="0" applyFont="1" applyFill="1" applyBorder="1" applyAlignment="1">
      <alignment horizontal="right"/>
    </xf>
    <xf numFmtId="0" fontId="4" fillId="0" borderId="0" xfId="0" applyFont="1"/>
    <xf numFmtId="0" fontId="0" fillId="0" borderId="0" xfId="0"/>
    <xf numFmtId="0" fontId="5" fillId="0" borderId="0" xfId="0" applyFont="1"/>
    <xf numFmtId="0" fontId="14" fillId="0" borderId="0" xfId="0" applyFont="1" applyAlignment="1">
      <alignment vertical="top" wrapText="1"/>
    </xf>
    <xf numFmtId="0" fontId="7" fillId="5" borderId="1" xfId="0" applyFont="1" applyFill="1" applyBorder="1"/>
    <xf numFmtId="0" fontId="2" fillId="0" borderId="0" xfId="0" applyFont="1" applyFill="1" applyAlignment="1">
      <alignment horizontal="center"/>
    </xf>
    <xf numFmtId="0" fontId="0" fillId="0" borderId="0" xfId="0" applyFill="1"/>
    <xf numFmtId="0" fontId="10" fillId="6" borderId="1" xfId="0" applyFont="1" applyFill="1" applyBorder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"/>
  <sheetViews>
    <sheetView tabSelected="1" workbookViewId="0">
      <pane ySplit="6" topLeftCell="A34" activePane="bottomLeft" state="frozen"/>
      <selection pane="bottomLeft" activeCell="A47" sqref="A47:G50"/>
    </sheetView>
  </sheetViews>
  <sheetFormatPr defaultRowHeight="15" x14ac:dyDescent="0.25"/>
  <cols>
    <col min="1" max="1" width="34" customWidth="1"/>
    <col min="2" max="2" width="46" customWidth="1"/>
    <col min="3" max="3" width="7" customWidth="1"/>
    <col min="4" max="4" width="12" customWidth="1"/>
    <col min="5" max="5" width="14" customWidth="1"/>
    <col min="6" max="6" width="10" customWidth="1"/>
    <col min="7" max="7" width="46" customWidth="1"/>
  </cols>
  <sheetData>
    <row r="1" spans="1:7" ht="20.25" customHeight="1" x14ac:dyDescent="0.3">
      <c r="A1" s="44" t="s">
        <v>0</v>
      </c>
      <c r="B1" s="45"/>
      <c r="C1" s="45"/>
      <c r="D1" s="45"/>
      <c r="E1" s="45"/>
      <c r="F1" s="45"/>
      <c r="G1" s="45"/>
    </row>
    <row r="2" spans="1:7" x14ac:dyDescent="0.25">
      <c r="A2" s="46" t="s">
        <v>191</v>
      </c>
      <c r="B2" s="45"/>
      <c r="C2" s="45"/>
      <c r="D2" s="45"/>
      <c r="E2" s="45"/>
      <c r="F2" s="45"/>
      <c r="G2" s="45"/>
    </row>
    <row r="4" spans="1:7" x14ac:dyDescent="0.25">
      <c r="A4" s="6" t="s">
        <v>1</v>
      </c>
      <c r="B4" s="39"/>
      <c r="C4" s="49"/>
      <c r="D4" s="50"/>
      <c r="E4" s="50"/>
      <c r="F4" s="50"/>
    </row>
    <row r="6" spans="1:7" x14ac:dyDescent="0.25">
      <c r="A6" s="7" t="s">
        <v>2</v>
      </c>
      <c r="B6" s="7" t="s">
        <v>3</v>
      </c>
      <c r="C6" s="7" t="s">
        <v>4</v>
      </c>
      <c r="D6" s="7" t="s">
        <v>5</v>
      </c>
      <c r="E6" s="7" t="s">
        <v>6</v>
      </c>
      <c r="F6" s="7" t="s">
        <v>7</v>
      </c>
      <c r="G6" s="7" t="s">
        <v>8</v>
      </c>
    </row>
    <row r="7" spans="1:7" x14ac:dyDescent="0.25">
      <c r="A7" s="48" t="s">
        <v>9</v>
      </c>
      <c r="B7" s="41"/>
      <c r="C7" s="41"/>
      <c r="D7" s="41"/>
      <c r="E7" s="41"/>
      <c r="F7" s="41"/>
      <c r="G7" s="42"/>
    </row>
    <row r="8" spans="1:7" ht="60" customHeight="1" x14ac:dyDescent="0.25">
      <c r="A8" s="8" t="s">
        <v>10</v>
      </c>
      <c r="B8" s="3" t="s">
        <v>193</v>
      </c>
      <c r="C8" s="9">
        <v>3</v>
      </c>
      <c r="D8" s="10">
        <f>'Rate Catalog'!H2</f>
        <v>100</v>
      </c>
      <c r="E8" s="10">
        <f>C8*D8</f>
        <v>300</v>
      </c>
      <c r="F8" s="11" t="s">
        <v>11</v>
      </c>
      <c r="G8" s="3"/>
    </row>
    <row r="9" spans="1:7" ht="60" customHeight="1" x14ac:dyDescent="0.25">
      <c r="A9" s="8" t="s">
        <v>12</v>
      </c>
      <c r="B9" s="3" t="s">
        <v>194</v>
      </c>
      <c r="C9" s="9">
        <v>1</v>
      </c>
      <c r="D9" s="10">
        <f>'Rate Catalog'!H3</f>
        <v>25</v>
      </c>
      <c r="E9" s="10">
        <f>C9*D9</f>
        <v>25</v>
      </c>
      <c r="F9" s="11" t="s">
        <v>11</v>
      </c>
      <c r="G9" s="3"/>
    </row>
    <row r="10" spans="1:7" x14ac:dyDescent="0.25">
      <c r="A10" s="51" t="s">
        <v>13</v>
      </c>
      <c r="B10" s="41"/>
      <c r="C10" s="41"/>
      <c r="D10" s="42"/>
      <c r="E10" s="13">
        <f>SUM(E8:E9)</f>
        <v>325</v>
      </c>
      <c r="F10" s="12"/>
      <c r="G10" s="12"/>
    </row>
    <row r="12" spans="1:7" x14ac:dyDescent="0.25">
      <c r="A12" s="48" t="s">
        <v>14</v>
      </c>
      <c r="B12" s="41"/>
      <c r="C12" s="41"/>
      <c r="D12" s="41"/>
      <c r="E12" s="41"/>
      <c r="F12" s="41"/>
      <c r="G12" s="42"/>
    </row>
    <row r="13" spans="1:7" ht="60" customHeight="1" x14ac:dyDescent="0.25">
      <c r="A13" s="8" t="s">
        <v>15</v>
      </c>
      <c r="B13" s="3" t="s">
        <v>195</v>
      </c>
      <c r="C13" s="9">
        <v>1</v>
      </c>
      <c r="D13" s="10">
        <f>'Rate Catalog'!H11</f>
        <v>50</v>
      </c>
      <c r="E13" s="10">
        <f>C13*D13</f>
        <v>50</v>
      </c>
      <c r="F13" s="11" t="s">
        <v>11</v>
      </c>
      <c r="G13" s="3"/>
    </row>
    <row r="14" spans="1:7" x14ac:dyDescent="0.25">
      <c r="A14" s="51" t="s">
        <v>16</v>
      </c>
      <c r="B14" s="41"/>
      <c r="C14" s="41"/>
      <c r="D14" s="42"/>
      <c r="E14" s="13">
        <f>SUM(E13:E13)</f>
        <v>50</v>
      </c>
      <c r="F14" s="12"/>
      <c r="G14" s="12"/>
    </row>
    <row r="16" spans="1:7" x14ac:dyDescent="0.25">
      <c r="A16" s="48" t="s">
        <v>17</v>
      </c>
      <c r="B16" s="41"/>
      <c r="C16" s="41"/>
      <c r="D16" s="41"/>
      <c r="E16" s="41"/>
      <c r="F16" s="41"/>
      <c r="G16" s="42"/>
    </row>
    <row r="17" spans="1:7" ht="60" customHeight="1" x14ac:dyDescent="0.25">
      <c r="A17" s="8" t="s">
        <v>18</v>
      </c>
      <c r="B17" s="3" t="s">
        <v>19</v>
      </c>
      <c r="C17" s="9">
        <v>22</v>
      </c>
      <c r="D17" s="10">
        <f>'Rate Catalog'!H4</f>
        <v>85</v>
      </c>
      <c r="E17" s="10">
        <f t="shared" ref="E17:E28" si="0">C17*D17</f>
        <v>1870</v>
      </c>
      <c r="F17" s="14" t="s">
        <v>20</v>
      </c>
      <c r="G17" s="3"/>
    </row>
    <row r="18" spans="1:7" ht="60" customHeight="1" x14ac:dyDescent="0.25">
      <c r="A18" s="8" t="s">
        <v>21</v>
      </c>
      <c r="B18" s="3" t="s">
        <v>22</v>
      </c>
      <c r="C18" s="9">
        <v>22</v>
      </c>
      <c r="D18" s="10">
        <f>'Rate Catalog'!H5</f>
        <v>45</v>
      </c>
      <c r="E18" s="10">
        <f t="shared" si="0"/>
        <v>990</v>
      </c>
      <c r="F18" s="11" t="s">
        <v>11</v>
      </c>
      <c r="G18" s="3"/>
    </row>
    <row r="19" spans="1:7" ht="60" customHeight="1" x14ac:dyDescent="0.25">
      <c r="A19" s="8" t="s">
        <v>23</v>
      </c>
      <c r="B19" s="3" t="s">
        <v>24</v>
      </c>
      <c r="C19" s="9">
        <v>23</v>
      </c>
      <c r="D19" s="10">
        <f>'Rate Catalog'!H6</f>
        <v>50</v>
      </c>
      <c r="E19" s="10">
        <f t="shared" si="0"/>
        <v>1150</v>
      </c>
      <c r="F19" s="14" t="s">
        <v>20</v>
      </c>
      <c r="G19" s="3"/>
    </row>
    <row r="20" spans="1:7" ht="60" customHeight="1" x14ac:dyDescent="0.25">
      <c r="A20" s="8" t="s">
        <v>25</v>
      </c>
      <c r="B20" s="3" t="s">
        <v>26</v>
      </c>
      <c r="C20" s="9">
        <v>27</v>
      </c>
      <c r="D20" s="10">
        <f>'Rate Catalog'!H7</f>
        <v>50</v>
      </c>
      <c r="E20" s="10">
        <f t="shared" si="0"/>
        <v>1350</v>
      </c>
      <c r="F20" s="11" t="s">
        <v>11</v>
      </c>
      <c r="G20" s="3"/>
    </row>
    <row r="21" spans="1:7" ht="60" customHeight="1" x14ac:dyDescent="0.25">
      <c r="A21" s="38" t="s">
        <v>39</v>
      </c>
      <c r="B21" s="3" t="s">
        <v>40</v>
      </c>
      <c r="C21" s="9">
        <v>27</v>
      </c>
      <c r="D21" s="10">
        <f>'Rate Catalog'!H19</f>
        <v>30</v>
      </c>
      <c r="E21" s="10">
        <f>C21*D21</f>
        <v>810</v>
      </c>
      <c r="F21" s="14" t="s">
        <v>20</v>
      </c>
      <c r="G21" s="3"/>
    </row>
    <row r="22" spans="1:7" ht="60" customHeight="1" x14ac:dyDescent="0.25">
      <c r="A22" s="8" t="s">
        <v>27</v>
      </c>
      <c r="B22" s="3" t="s">
        <v>28</v>
      </c>
      <c r="C22" s="9">
        <v>26</v>
      </c>
      <c r="D22" s="10">
        <f>'Rate Catalog'!H12</f>
        <v>50</v>
      </c>
      <c r="E22" s="10">
        <f t="shared" si="0"/>
        <v>1300</v>
      </c>
      <c r="F22" s="11" t="s">
        <v>11</v>
      </c>
      <c r="G22" s="3"/>
    </row>
    <row r="23" spans="1:7" ht="60" customHeight="1" x14ac:dyDescent="0.25">
      <c r="A23" s="8" t="s">
        <v>29</v>
      </c>
      <c r="B23" s="3" t="s">
        <v>30</v>
      </c>
      <c r="C23" s="9">
        <v>21</v>
      </c>
      <c r="D23" s="10">
        <f>'Rate Catalog'!H13</f>
        <v>30</v>
      </c>
      <c r="E23" s="10">
        <f t="shared" si="0"/>
        <v>630</v>
      </c>
      <c r="F23" s="14" t="s">
        <v>20</v>
      </c>
      <c r="G23" s="3"/>
    </row>
    <row r="24" spans="1:7" ht="60" customHeight="1" x14ac:dyDescent="0.25">
      <c r="A24" s="8" t="s">
        <v>31</v>
      </c>
      <c r="B24" s="3" t="s">
        <v>32</v>
      </c>
      <c r="C24" s="9">
        <v>1</v>
      </c>
      <c r="D24" s="10">
        <f>'Rate Catalog'!H14</f>
        <v>50</v>
      </c>
      <c r="E24" s="10">
        <f t="shared" si="0"/>
        <v>50</v>
      </c>
      <c r="F24" s="14" t="s">
        <v>20</v>
      </c>
      <c r="G24" s="3"/>
    </row>
    <row r="25" spans="1:7" ht="60" customHeight="1" x14ac:dyDescent="0.25">
      <c r="A25" s="8" t="s">
        <v>33</v>
      </c>
      <c r="B25" s="3" t="s">
        <v>196</v>
      </c>
      <c r="C25" s="9">
        <v>13</v>
      </c>
      <c r="D25" s="10">
        <f>'Rate Catalog'!H15</f>
        <v>50</v>
      </c>
      <c r="E25" s="10">
        <f t="shared" si="0"/>
        <v>650</v>
      </c>
      <c r="F25" s="11" t="s">
        <v>11</v>
      </c>
      <c r="G25" s="3"/>
    </row>
    <row r="26" spans="1:7" ht="60" customHeight="1" x14ac:dyDescent="0.25">
      <c r="A26" s="8" t="s">
        <v>34</v>
      </c>
      <c r="B26" s="3" t="s">
        <v>35</v>
      </c>
      <c r="C26" s="9">
        <v>1</v>
      </c>
      <c r="D26" s="10">
        <f>'Rate Catalog'!H16</f>
        <v>400</v>
      </c>
      <c r="E26" s="10">
        <f t="shared" si="0"/>
        <v>400</v>
      </c>
      <c r="F26" s="14" t="s">
        <v>20</v>
      </c>
      <c r="G26" s="3"/>
    </row>
    <row r="27" spans="1:7" ht="60" customHeight="1" x14ac:dyDescent="0.25">
      <c r="A27" s="8" t="s">
        <v>36</v>
      </c>
      <c r="B27" s="3" t="s">
        <v>37</v>
      </c>
      <c r="C27" s="9">
        <v>3</v>
      </c>
      <c r="D27" s="10">
        <f>'Rate Catalog'!H17</f>
        <v>50</v>
      </c>
      <c r="E27" s="10">
        <f t="shared" si="0"/>
        <v>150</v>
      </c>
      <c r="F27" s="14" t="s">
        <v>20</v>
      </c>
      <c r="G27" s="3"/>
    </row>
    <row r="28" spans="1:7" ht="60" customHeight="1" x14ac:dyDescent="0.25">
      <c r="A28" s="8" t="s">
        <v>38</v>
      </c>
      <c r="B28" s="3" t="s">
        <v>192</v>
      </c>
      <c r="C28" s="9">
        <v>98</v>
      </c>
      <c r="D28" s="10">
        <f>'Rate Catalog'!H18</f>
        <v>60</v>
      </c>
      <c r="E28" s="10">
        <f t="shared" si="0"/>
        <v>5880</v>
      </c>
      <c r="F28" s="11" t="s">
        <v>11</v>
      </c>
      <c r="G28" s="3"/>
    </row>
    <row r="29" spans="1:7" x14ac:dyDescent="0.25">
      <c r="A29" s="51" t="s">
        <v>41</v>
      </c>
      <c r="B29" s="41"/>
      <c r="C29" s="41"/>
      <c r="D29" s="42"/>
      <c r="E29" s="13">
        <f>SUM(E17:E28)</f>
        <v>15230</v>
      </c>
      <c r="F29" s="12"/>
      <c r="G29" s="12"/>
    </row>
    <row r="31" spans="1:7" x14ac:dyDescent="0.25">
      <c r="A31" s="48" t="s">
        <v>42</v>
      </c>
      <c r="B31" s="41"/>
      <c r="C31" s="41"/>
      <c r="D31" s="41"/>
      <c r="E31" s="41"/>
      <c r="F31" s="41"/>
      <c r="G31" s="42"/>
    </row>
    <row r="32" spans="1:7" ht="60" customHeight="1" x14ac:dyDescent="0.25">
      <c r="A32" s="8" t="s">
        <v>43</v>
      </c>
      <c r="B32" s="3" t="s">
        <v>197</v>
      </c>
      <c r="C32" s="9">
        <v>79</v>
      </c>
      <c r="D32" s="10">
        <f>'Rate Catalog'!H8</f>
        <v>50</v>
      </c>
      <c r="E32" s="10">
        <f>C32*D32</f>
        <v>3950</v>
      </c>
      <c r="F32" s="11" t="s">
        <v>11</v>
      </c>
      <c r="G32" s="3"/>
    </row>
    <row r="33" spans="1:7" ht="60" customHeight="1" x14ac:dyDescent="0.25">
      <c r="A33" s="8" t="s">
        <v>44</v>
      </c>
      <c r="B33" s="3" t="s">
        <v>45</v>
      </c>
      <c r="C33" s="9">
        <v>42</v>
      </c>
      <c r="D33" s="10">
        <f>'Rate Catalog'!H9</f>
        <v>85</v>
      </c>
      <c r="E33" s="10">
        <f>C33*D33</f>
        <v>3570</v>
      </c>
      <c r="F33" s="11" t="s">
        <v>11</v>
      </c>
      <c r="G33" s="3"/>
    </row>
    <row r="34" spans="1:7" ht="60" customHeight="1" x14ac:dyDescent="0.25">
      <c r="A34" s="8" t="s">
        <v>46</v>
      </c>
      <c r="B34" s="3" t="s">
        <v>47</v>
      </c>
      <c r="C34" s="9">
        <v>88</v>
      </c>
      <c r="D34" s="10">
        <f>'Rate Catalog'!H10</f>
        <v>50</v>
      </c>
      <c r="E34" s="10">
        <f>C34*D34</f>
        <v>4400</v>
      </c>
      <c r="F34" s="11" t="s">
        <v>11</v>
      </c>
      <c r="G34" s="3"/>
    </row>
    <row r="35" spans="1:7" x14ac:dyDescent="0.25">
      <c r="A35" s="51" t="s">
        <v>48</v>
      </c>
      <c r="B35" s="41"/>
      <c r="C35" s="41"/>
      <c r="D35" s="42"/>
      <c r="E35" s="13">
        <f>SUM(E32:E34)</f>
        <v>11920</v>
      </c>
      <c r="F35" s="12"/>
      <c r="G35" s="12"/>
    </row>
    <row r="37" spans="1:7" ht="15.75" x14ac:dyDescent="0.25">
      <c r="A37" s="43" t="s">
        <v>49</v>
      </c>
      <c r="B37" s="41"/>
      <c r="C37" s="41"/>
      <c r="D37" s="42"/>
      <c r="E37" s="16">
        <f>E10+E14+E29+E35</f>
        <v>27525</v>
      </c>
      <c r="F37" s="15"/>
      <c r="G37" s="15"/>
    </row>
    <row r="39" spans="1:7" x14ac:dyDescent="0.25">
      <c r="A39" s="48" t="s">
        <v>50</v>
      </c>
      <c r="B39" s="41"/>
      <c r="C39" s="41"/>
      <c r="D39" s="41"/>
      <c r="E39" s="41"/>
      <c r="F39" s="41"/>
      <c r="G39" s="42"/>
    </row>
    <row r="40" spans="1:7" ht="45" customHeight="1" x14ac:dyDescent="0.25">
      <c r="A40" s="8" t="s">
        <v>51</v>
      </c>
      <c r="B40" s="3" t="s">
        <v>52</v>
      </c>
      <c r="C40" s="9">
        <v>1</v>
      </c>
      <c r="D40" s="17">
        <v>800</v>
      </c>
      <c r="E40" s="18">
        <f>C40*D40</f>
        <v>800</v>
      </c>
      <c r="F40" s="14" t="s">
        <v>20</v>
      </c>
      <c r="G40" s="3"/>
    </row>
    <row r="41" spans="1:7" ht="99.95" customHeight="1" x14ac:dyDescent="0.25">
      <c r="A41" s="8" t="s">
        <v>53</v>
      </c>
      <c r="B41" s="3" t="s">
        <v>54</v>
      </c>
      <c r="C41" s="9">
        <v>2</v>
      </c>
      <c r="D41" s="17">
        <v>2800</v>
      </c>
      <c r="E41" s="18">
        <f>C41*D41</f>
        <v>5600</v>
      </c>
      <c r="F41" s="14" t="s">
        <v>20</v>
      </c>
      <c r="G41" s="3"/>
    </row>
    <row r="42" spans="1:7" x14ac:dyDescent="0.25">
      <c r="A42" s="51"/>
      <c r="B42" s="41"/>
      <c r="C42" s="41"/>
      <c r="D42" s="42"/>
      <c r="E42" s="13">
        <f>E37+E40+E41</f>
        <v>33925</v>
      </c>
      <c r="F42" s="12"/>
      <c r="G42" s="12"/>
    </row>
    <row r="43" spans="1:7" x14ac:dyDescent="0.25">
      <c r="A43" s="52" t="s">
        <v>55</v>
      </c>
      <c r="B43" s="45"/>
      <c r="C43" s="45"/>
      <c r="D43" s="45"/>
      <c r="E43" s="19">
        <v>8.8749999999999996E-2</v>
      </c>
      <c r="G43" s="20"/>
    </row>
    <row r="44" spans="1:7" x14ac:dyDescent="0.25">
      <c r="A44" s="51" t="s">
        <v>56</v>
      </c>
      <c r="B44" s="41"/>
      <c r="C44" s="41"/>
      <c r="D44" s="42"/>
      <c r="E44" s="13">
        <f>E42*E43</f>
        <v>3010.84375</v>
      </c>
      <c r="F44" s="12"/>
      <c r="G44" s="12"/>
    </row>
    <row r="45" spans="1:7" ht="16.5" x14ac:dyDescent="0.25">
      <c r="A45" s="40" t="s">
        <v>57</v>
      </c>
      <c r="B45" s="41"/>
      <c r="C45" s="41"/>
      <c r="D45" s="42"/>
      <c r="E45" s="22">
        <f>E42+E44</f>
        <v>36935.84375</v>
      </c>
      <c r="F45" s="21"/>
      <c r="G45" s="21"/>
    </row>
    <row r="47" spans="1:7" x14ac:dyDescent="0.25">
      <c r="A47" s="47"/>
      <c r="B47" s="45"/>
      <c r="C47" s="45"/>
      <c r="D47" s="45"/>
      <c r="E47" s="45"/>
      <c r="F47" s="45"/>
      <c r="G47" s="45"/>
    </row>
    <row r="48" spans="1:7" x14ac:dyDescent="0.25">
      <c r="A48" s="45"/>
      <c r="B48" s="45"/>
      <c r="C48" s="45"/>
      <c r="D48" s="45"/>
      <c r="E48" s="45"/>
      <c r="F48" s="45"/>
      <c r="G48" s="45"/>
    </row>
    <row r="49" spans="1:7" x14ac:dyDescent="0.25">
      <c r="A49" s="45"/>
      <c r="B49" s="45"/>
      <c r="C49" s="45"/>
      <c r="D49" s="45"/>
      <c r="E49" s="45"/>
      <c r="F49" s="45"/>
      <c r="G49" s="45"/>
    </row>
    <row r="50" spans="1:7" x14ac:dyDescent="0.25">
      <c r="A50" s="45"/>
      <c r="B50" s="45"/>
      <c r="C50" s="45"/>
      <c r="D50" s="45"/>
      <c r="E50" s="45"/>
      <c r="F50" s="45"/>
      <c r="G50" s="45"/>
    </row>
  </sheetData>
  <mergeCells count="18">
    <mergeCell ref="A14:D14"/>
    <mergeCell ref="A44:D44"/>
    <mergeCell ref="A45:D45"/>
    <mergeCell ref="A37:D37"/>
    <mergeCell ref="A1:G1"/>
    <mergeCell ref="A2:G2"/>
    <mergeCell ref="A47:G50"/>
    <mergeCell ref="A31:G31"/>
    <mergeCell ref="C4:F4"/>
    <mergeCell ref="A35:D35"/>
    <mergeCell ref="A39:G39"/>
    <mergeCell ref="A12:G12"/>
    <mergeCell ref="A29:D29"/>
    <mergeCell ref="A16:G16"/>
    <mergeCell ref="A43:D43"/>
    <mergeCell ref="A7:G7"/>
    <mergeCell ref="A10:D10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201"/>
  <sheetViews>
    <sheetView workbookViewId="0">
      <pane ySplit="5" topLeftCell="A48" activePane="bottomLeft" state="frozen"/>
      <selection pane="bottomLeft" activeCell="L17" sqref="L17"/>
    </sheetView>
  </sheetViews>
  <sheetFormatPr defaultRowHeight="15" x14ac:dyDescent="0.25"/>
  <cols>
    <col min="1" max="1" width="3" customWidth="1"/>
    <col min="2" max="2" width="30" customWidth="1"/>
    <col min="3" max="3" width="44" customWidth="1"/>
    <col min="4" max="4" width="7" customWidth="1"/>
    <col min="5" max="5" width="6" customWidth="1"/>
    <col min="6" max="6" width="11" customWidth="1"/>
    <col min="7" max="7" width="9" customWidth="1"/>
    <col min="8" max="8" width="11" customWidth="1"/>
    <col min="9" max="9" width="12" customWidth="1"/>
    <col min="10" max="11" width="3" customWidth="1"/>
    <col min="12" max="12" width="30" customWidth="1"/>
    <col min="13" max="13" width="3" customWidth="1"/>
    <col min="14" max="14" width="7" customWidth="1"/>
  </cols>
  <sheetData>
    <row r="1" spans="2:14" ht="15.75" x14ac:dyDescent="0.25">
      <c r="B1" s="25" t="s">
        <v>58</v>
      </c>
    </row>
    <row r="2" spans="2:14" x14ac:dyDescent="0.25">
      <c r="B2" s="23" t="s">
        <v>59</v>
      </c>
    </row>
    <row r="3" spans="2:14" x14ac:dyDescent="0.25">
      <c r="B3" s="26" t="s">
        <v>60</v>
      </c>
    </row>
    <row r="4" spans="2:14" x14ac:dyDescent="0.25">
      <c r="B4" s="27" t="s">
        <v>61</v>
      </c>
    </row>
    <row r="5" spans="2:14" x14ac:dyDescent="0.25">
      <c r="B5" s="28" t="s">
        <v>2</v>
      </c>
      <c r="C5" s="28" t="s">
        <v>3</v>
      </c>
      <c r="D5" s="28" t="s">
        <v>4</v>
      </c>
      <c r="E5" s="28" t="s">
        <v>62</v>
      </c>
      <c r="F5" s="28" t="s">
        <v>63</v>
      </c>
      <c r="G5" s="28" t="s">
        <v>64</v>
      </c>
      <c r="H5" s="28" t="s">
        <v>5</v>
      </c>
      <c r="I5" s="28" t="s">
        <v>65</v>
      </c>
      <c r="L5" s="28" t="s">
        <v>66</v>
      </c>
      <c r="N5" s="28" t="s">
        <v>4</v>
      </c>
    </row>
    <row r="6" spans="2:14" x14ac:dyDescent="0.25">
      <c r="B6" s="29" t="s">
        <v>9</v>
      </c>
      <c r="C6" s="30"/>
      <c r="D6" s="30"/>
      <c r="E6" s="30"/>
      <c r="F6" s="30"/>
      <c r="G6" s="30"/>
      <c r="H6" s="30"/>
      <c r="I6" s="30"/>
      <c r="L6" s="29" t="s">
        <v>9</v>
      </c>
      <c r="N6" s="30"/>
    </row>
    <row r="7" spans="2:14" ht="27.95" customHeight="1" x14ac:dyDescent="0.25">
      <c r="B7" s="31" t="s">
        <v>10</v>
      </c>
      <c r="C7" s="32"/>
      <c r="D7" s="33">
        <v>1</v>
      </c>
      <c r="E7" s="34" t="s">
        <v>67</v>
      </c>
      <c r="F7" s="35">
        <f>IFERROR(IF(ISNUMBER(INDEX('Signage Schedule'!$D:$D,MATCH(B7,'Signage Schedule'!$A:$A,0))),INDEX('Signage Schedule'!$D:$D,MATCH(B7,'Signage Schedule'!$A:$A,0)),0),0)</f>
        <v>100</v>
      </c>
      <c r="G7" s="36"/>
      <c r="H7" s="35"/>
      <c r="I7" s="35">
        <f>D7*F7</f>
        <v>100</v>
      </c>
      <c r="L7" s="34" t="s">
        <v>10</v>
      </c>
      <c r="N7" s="34">
        <f>SUMIF(B:B,L7,D:D)</f>
        <v>1</v>
      </c>
    </row>
    <row r="8" spans="2:14" ht="27.95" customHeight="1" x14ac:dyDescent="0.25">
      <c r="B8" s="31" t="s">
        <v>12</v>
      </c>
      <c r="C8" s="32"/>
      <c r="D8" s="33">
        <v>1</v>
      </c>
      <c r="E8" s="34" t="s">
        <v>67</v>
      </c>
      <c r="F8" s="35">
        <f>IFERROR(IF(ISNUMBER(INDEX('Signage Schedule'!$D:$D,MATCH(B8,'Signage Schedule'!$A:$A,0))),INDEX('Signage Schedule'!$D:$D,MATCH(B8,'Signage Schedule'!$A:$A,0)),0),0)</f>
        <v>25</v>
      </c>
      <c r="G8" s="36"/>
      <c r="H8" s="35"/>
      <c r="I8" s="35">
        <f t="shared" ref="I8:I71" si="0">D8*F8</f>
        <v>25</v>
      </c>
      <c r="L8" s="34" t="s">
        <v>12</v>
      </c>
      <c r="N8" s="34">
        <f>SUMIF(B:B,L8,D:D)</f>
        <v>1</v>
      </c>
    </row>
    <row r="9" spans="2:14" x14ac:dyDescent="0.25">
      <c r="B9" s="24" t="s">
        <v>68</v>
      </c>
      <c r="C9" s="37"/>
      <c r="D9" s="37"/>
      <c r="E9" s="37"/>
      <c r="F9" s="37"/>
      <c r="G9" s="37"/>
      <c r="H9" s="37"/>
      <c r="I9" s="35">
        <f t="shared" si="0"/>
        <v>0</v>
      </c>
      <c r="L9" s="29" t="s">
        <v>14</v>
      </c>
      <c r="N9" s="30"/>
    </row>
    <row r="10" spans="2:14" x14ac:dyDescent="0.25">
      <c r="B10" s="29" t="s">
        <v>17</v>
      </c>
      <c r="C10" s="30"/>
      <c r="D10" s="30"/>
      <c r="E10" s="30"/>
      <c r="F10" s="30"/>
      <c r="G10" s="30"/>
      <c r="H10" s="30"/>
      <c r="I10" s="35">
        <f t="shared" si="0"/>
        <v>0</v>
      </c>
      <c r="L10" s="34" t="s">
        <v>15</v>
      </c>
      <c r="N10" s="34">
        <f>SUMIF(B:B,L10,D:D)</f>
        <v>1</v>
      </c>
    </row>
    <row r="11" spans="2:14" ht="27.95" customHeight="1" x14ac:dyDescent="0.25">
      <c r="B11" s="31" t="s">
        <v>18</v>
      </c>
      <c r="C11" s="32"/>
      <c r="D11" s="33">
        <v>1</v>
      </c>
      <c r="E11" s="34" t="s">
        <v>67</v>
      </c>
      <c r="F11" s="35">
        <f>IFERROR(IF(ISNUMBER(INDEX('Signage Schedule'!$D:$D,MATCH(B11,'Signage Schedule'!$A:$A,0))),INDEX('Signage Schedule'!$D:$D,MATCH(B11,'Signage Schedule'!$A:$A,0)),0),0)</f>
        <v>85</v>
      </c>
      <c r="G11" s="36"/>
      <c r="H11" s="35"/>
      <c r="I11" s="35">
        <f t="shared" si="0"/>
        <v>85</v>
      </c>
      <c r="L11" s="29" t="s">
        <v>17</v>
      </c>
      <c r="N11" s="30"/>
    </row>
    <row r="12" spans="2:14" ht="27.95" customHeight="1" x14ac:dyDescent="0.25">
      <c r="B12" s="31" t="s">
        <v>21</v>
      </c>
      <c r="C12" s="32"/>
      <c r="D12" s="33">
        <v>1</v>
      </c>
      <c r="E12" s="34" t="s">
        <v>67</v>
      </c>
      <c r="F12" s="35">
        <f>IFERROR(IF(ISNUMBER(INDEX('Signage Schedule'!$D:$D,MATCH(B12,'Signage Schedule'!$A:$A,0))),INDEX('Signage Schedule'!$D:$D,MATCH(B12,'Signage Schedule'!$A:$A,0)),0),0)</f>
        <v>45</v>
      </c>
      <c r="G12" s="36"/>
      <c r="H12" s="35"/>
      <c r="I12" s="35">
        <f t="shared" si="0"/>
        <v>45</v>
      </c>
      <c r="L12" s="34" t="s">
        <v>18</v>
      </c>
      <c r="N12" s="34">
        <f t="shared" ref="N12:N23" si="1">SUMIF(B:B,L12,D:D)</f>
        <v>22</v>
      </c>
    </row>
    <row r="13" spans="2:14" ht="27.95" customHeight="1" x14ac:dyDescent="0.25">
      <c r="B13" s="31" t="s">
        <v>23</v>
      </c>
      <c r="C13" s="32"/>
      <c r="D13" s="33">
        <v>2</v>
      </c>
      <c r="E13" s="34" t="s">
        <v>67</v>
      </c>
      <c r="F13" s="35">
        <f>IFERROR(IF(ISNUMBER(INDEX('Signage Schedule'!$D:$D,MATCH(B13,'Signage Schedule'!$A:$A,0))),INDEX('Signage Schedule'!$D:$D,MATCH(B13,'Signage Schedule'!$A:$A,0)),0),0)</f>
        <v>50</v>
      </c>
      <c r="G13" s="36"/>
      <c r="H13" s="35"/>
      <c r="I13" s="35">
        <f t="shared" si="0"/>
        <v>100</v>
      </c>
      <c r="L13" s="34" t="s">
        <v>21</v>
      </c>
      <c r="N13" s="34">
        <f t="shared" si="1"/>
        <v>22</v>
      </c>
    </row>
    <row r="14" spans="2:14" ht="27.95" customHeight="1" x14ac:dyDescent="0.25">
      <c r="B14" s="31" t="s">
        <v>25</v>
      </c>
      <c r="C14" s="32"/>
      <c r="D14" s="33">
        <v>5</v>
      </c>
      <c r="E14" s="34" t="s">
        <v>67</v>
      </c>
      <c r="F14" s="35">
        <f>IFERROR(IF(ISNUMBER(INDEX('Signage Schedule'!$D:$D,MATCH(B14,'Signage Schedule'!$A:$A,0))),INDEX('Signage Schedule'!$D:$D,MATCH(B14,'Signage Schedule'!$A:$A,0)),0),0)</f>
        <v>50</v>
      </c>
      <c r="G14" s="36"/>
      <c r="H14" s="35"/>
      <c r="I14" s="35">
        <f t="shared" si="0"/>
        <v>250</v>
      </c>
      <c r="L14" s="34" t="s">
        <v>23</v>
      </c>
      <c r="N14" s="34">
        <f t="shared" si="1"/>
        <v>23</v>
      </c>
    </row>
    <row r="15" spans="2:14" x14ac:dyDescent="0.25">
      <c r="B15" s="29" t="s">
        <v>42</v>
      </c>
      <c r="C15" s="30"/>
      <c r="D15" s="30"/>
      <c r="E15" s="30"/>
      <c r="F15" s="30"/>
      <c r="G15" s="30"/>
      <c r="H15" s="30"/>
      <c r="I15" s="35">
        <f t="shared" si="0"/>
        <v>0</v>
      </c>
      <c r="L15" s="34" t="s">
        <v>25</v>
      </c>
      <c r="N15" s="34">
        <f t="shared" si="1"/>
        <v>27</v>
      </c>
    </row>
    <row r="16" spans="2:14" ht="27.95" customHeight="1" x14ac:dyDescent="0.25">
      <c r="B16" s="31" t="s">
        <v>43</v>
      </c>
      <c r="C16" s="32"/>
      <c r="D16" s="33">
        <v>2</v>
      </c>
      <c r="E16" s="34" t="s">
        <v>67</v>
      </c>
      <c r="F16" s="35">
        <f>IFERROR(IF(ISNUMBER(INDEX('Signage Schedule'!$D:$D,MATCH(B16,'Signage Schedule'!$A:$A,0))),INDEX('Signage Schedule'!$D:$D,MATCH(B16,'Signage Schedule'!$A:$A,0)),0),0)</f>
        <v>50</v>
      </c>
      <c r="G16" s="36"/>
      <c r="H16" s="35"/>
      <c r="I16" s="35">
        <f t="shared" si="0"/>
        <v>100</v>
      </c>
      <c r="L16" s="34" t="s">
        <v>27</v>
      </c>
      <c r="N16" s="34">
        <f t="shared" si="1"/>
        <v>26</v>
      </c>
    </row>
    <row r="17" spans="2:14" ht="27.95" customHeight="1" x14ac:dyDescent="0.25">
      <c r="B17" s="31" t="s">
        <v>44</v>
      </c>
      <c r="C17" s="32"/>
      <c r="D17" s="33">
        <v>2</v>
      </c>
      <c r="E17" s="34" t="s">
        <v>67</v>
      </c>
      <c r="F17" s="35">
        <f>IFERROR(IF(ISNUMBER(INDEX('Signage Schedule'!$D:$D,MATCH(B17,'Signage Schedule'!$A:$A,0))),INDEX('Signage Schedule'!$D:$D,MATCH(B17,'Signage Schedule'!$A:$A,0)),0),0)</f>
        <v>85</v>
      </c>
      <c r="G17" s="36"/>
      <c r="H17" s="35"/>
      <c r="I17" s="35">
        <f t="shared" si="0"/>
        <v>170</v>
      </c>
      <c r="L17" s="34" t="s">
        <v>29</v>
      </c>
      <c r="N17" s="34">
        <f t="shared" si="1"/>
        <v>21</v>
      </c>
    </row>
    <row r="18" spans="2:14" ht="27.95" customHeight="1" x14ac:dyDescent="0.25">
      <c r="B18" s="31" t="s">
        <v>46</v>
      </c>
      <c r="C18" s="32"/>
      <c r="D18" s="33">
        <v>4</v>
      </c>
      <c r="E18" s="34" t="s">
        <v>67</v>
      </c>
      <c r="F18" s="35">
        <f>IFERROR(IF(ISNUMBER(INDEX('Signage Schedule'!$D:$D,MATCH(B18,'Signage Schedule'!$A:$A,0))),INDEX('Signage Schedule'!$D:$D,MATCH(B18,'Signage Schedule'!$A:$A,0)),0),0)</f>
        <v>50</v>
      </c>
      <c r="G18" s="36"/>
      <c r="H18" s="35"/>
      <c r="I18" s="35">
        <f t="shared" si="0"/>
        <v>200</v>
      </c>
      <c r="L18" s="34" t="s">
        <v>31</v>
      </c>
      <c r="N18" s="34">
        <f t="shared" si="1"/>
        <v>1</v>
      </c>
    </row>
    <row r="19" spans="2:14" x14ac:dyDescent="0.25">
      <c r="B19" s="24" t="s">
        <v>69</v>
      </c>
      <c r="C19" s="37"/>
      <c r="D19" s="37"/>
      <c r="E19" s="37"/>
      <c r="F19" s="37"/>
      <c r="G19" s="37"/>
      <c r="H19" s="37"/>
      <c r="I19" s="35">
        <f t="shared" si="0"/>
        <v>0</v>
      </c>
      <c r="L19" s="34" t="s">
        <v>33</v>
      </c>
      <c r="N19" s="34">
        <f t="shared" si="1"/>
        <v>13</v>
      </c>
    </row>
    <row r="20" spans="2:14" x14ac:dyDescent="0.25">
      <c r="B20" s="29" t="s">
        <v>14</v>
      </c>
      <c r="C20" s="30"/>
      <c r="D20" s="30"/>
      <c r="E20" s="30"/>
      <c r="F20" s="30"/>
      <c r="G20" s="30"/>
      <c r="H20" s="30"/>
      <c r="I20" s="35">
        <f t="shared" si="0"/>
        <v>0</v>
      </c>
      <c r="L20" s="34" t="s">
        <v>34</v>
      </c>
      <c r="N20" s="34">
        <f t="shared" si="1"/>
        <v>1</v>
      </c>
    </row>
    <row r="21" spans="2:14" ht="27.95" customHeight="1" x14ac:dyDescent="0.25">
      <c r="B21" s="31" t="s">
        <v>15</v>
      </c>
      <c r="C21" s="32"/>
      <c r="D21" s="33">
        <v>1</v>
      </c>
      <c r="E21" s="34" t="s">
        <v>67</v>
      </c>
      <c r="F21" s="35">
        <f>IFERROR(IF(ISNUMBER(INDEX('Signage Schedule'!$D:$D,MATCH(B21,'Signage Schedule'!$A:$A,0))),INDEX('Signage Schedule'!$D:$D,MATCH(B21,'Signage Schedule'!$A:$A,0)),0),0)</f>
        <v>50</v>
      </c>
      <c r="G21" s="36"/>
      <c r="H21" s="35"/>
      <c r="I21" s="35">
        <f t="shared" si="0"/>
        <v>50</v>
      </c>
      <c r="L21" s="34" t="s">
        <v>36</v>
      </c>
      <c r="N21" s="34">
        <f t="shared" si="1"/>
        <v>3</v>
      </c>
    </row>
    <row r="22" spans="2:14" x14ac:dyDescent="0.25">
      <c r="B22" s="29" t="s">
        <v>17</v>
      </c>
      <c r="C22" s="30"/>
      <c r="D22" s="30"/>
      <c r="E22" s="30"/>
      <c r="F22" s="30"/>
      <c r="G22" s="30"/>
      <c r="H22" s="30"/>
      <c r="I22" s="35">
        <f t="shared" si="0"/>
        <v>0</v>
      </c>
      <c r="L22" s="34" t="s">
        <v>38</v>
      </c>
      <c r="N22" s="34">
        <f t="shared" si="1"/>
        <v>98</v>
      </c>
    </row>
    <row r="23" spans="2:14" ht="27.95" customHeight="1" x14ac:dyDescent="0.25">
      <c r="B23" s="31" t="s">
        <v>21</v>
      </c>
      <c r="C23" s="32"/>
      <c r="D23" s="33">
        <v>2</v>
      </c>
      <c r="E23" s="34" t="s">
        <v>67</v>
      </c>
      <c r="F23" s="35">
        <f>IFERROR(IF(ISNUMBER(INDEX('Signage Schedule'!$D:$D,MATCH(B23,'Signage Schedule'!$A:$A,0))),INDEX('Signage Schedule'!$D:$D,MATCH(B23,'Signage Schedule'!$A:$A,0)),0),0)</f>
        <v>45</v>
      </c>
      <c r="G23" s="36"/>
      <c r="H23" s="35"/>
      <c r="I23" s="35">
        <f t="shared" si="0"/>
        <v>90</v>
      </c>
      <c r="L23" s="34" t="s">
        <v>39</v>
      </c>
      <c r="N23" s="34">
        <f t="shared" si="1"/>
        <v>27</v>
      </c>
    </row>
    <row r="24" spans="2:14" ht="27.95" customHeight="1" x14ac:dyDescent="0.25">
      <c r="B24" s="31" t="s">
        <v>18</v>
      </c>
      <c r="C24" s="32"/>
      <c r="D24" s="33">
        <v>2</v>
      </c>
      <c r="E24" s="34" t="s">
        <v>67</v>
      </c>
      <c r="F24" s="35">
        <f>IFERROR(IF(ISNUMBER(INDEX('Signage Schedule'!$D:$D,MATCH(B24,'Signage Schedule'!$A:$A,0))),INDEX('Signage Schedule'!$D:$D,MATCH(B24,'Signage Schedule'!$A:$A,0)),0),0)</f>
        <v>85</v>
      </c>
      <c r="G24" s="36"/>
      <c r="H24" s="35"/>
      <c r="I24" s="35">
        <f t="shared" si="0"/>
        <v>170</v>
      </c>
      <c r="L24" s="29" t="s">
        <v>42</v>
      </c>
      <c r="N24" s="30"/>
    </row>
    <row r="25" spans="2:14" ht="27.95" customHeight="1" x14ac:dyDescent="0.25">
      <c r="B25" s="31" t="s">
        <v>27</v>
      </c>
      <c r="C25" s="32"/>
      <c r="D25" s="33">
        <v>1</v>
      </c>
      <c r="E25" s="34" t="s">
        <v>67</v>
      </c>
      <c r="F25" s="35">
        <f>IFERROR(IF(ISNUMBER(INDEX('Signage Schedule'!$D:$D,MATCH(B25,'Signage Schedule'!$A:$A,0))),INDEX('Signage Schedule'!$D:$D,MATCH(B25,'Signage Schedule'!$A:$A,0)),0),0)</f>
        <v>50</v>
      </c>
      <c r="G25" s="36"/>
      <c r="H25" s="35"/>
      <c r="I25" s="35">
        <f t="shared" si="0"/>
        <v>50</v>
      </c>
      <c r="L25" s="34" t="s">
        <v>43</v>
      </c>
      <c r="N25" s="34">
        <f>SUMIF(B:B,L25,D:D)</f>
        <v>79</v>
      </c>
    </row>
    <row r="26" spans="2:14" ht="27.95" customHeight="1" x14ac:dyDescent="0.25">
      <c r="B26" s="31" t="s">
        <v>23</v>
      </c>
      <c r="C26" s="32"/>
      <c r="D26" s="33">
        <v>2</v>
      </c>
      <c r="E26" s="34" t="s">
        <v>67</v>
      </c>
      <c r="F26" s="35">
        <f>IFERROR(IF(ISNUMBER(INDEX('Signage Schedule'!$D:$D,MATCH(B26,'Signage Schedule'!$A:$A,0))),INDEX('Signage Schedule'!$D:$D,MATCH(B26,'Signage Schedule'!$A:$A,0)),0),0)</f>
        <v>50</v>
      </c>
      <c r="G26" s="36"/>
      <c r="H26" s="35"/>
      <c r="I26" s="35">
        <f t="shared" si="0"/>
        <v>100</v>
      </c>
      <c r="L26" s="34" t="s">
        <v>44</v>
      </c>
      <c r="N26" s="34">
        <f>SUMIF(B:B,L26,D:D)</f>
        <v>42</v>
      </c>
    </row>
    <row r="27" spans="2:14" ht="27.95" customHeight="1" x14ac:dyDescent="0.25">
      <c r="B27" s="31" t="s">
        <v>29</v>
      </c>
      <c r="C27" s="32"/>
      <c r="D27" s="33">
        <v>2</v>
      </c>
      <c r="E27" s="34" t="s">
        <v>67</v>
      </c>
      <c r="F27" s="35">
        <f>IFERROR(IF(ISNUMBER(INDEX('Signage Schedule'!$D:$D,MATCH(B27,'Signage Schedule'!$A:$A,0))),INDEX('Signage Schedule'!$D:$D,MATCH(B27,'Signage Schedule'!$A:$A,0)),0),0)</f>
        <v>30</v>
      </c>
      <c r="G27" s="36"/>
      <c r="H27" s="35"/>
      <c r="I27" s="35">
        <f t="shared" si="0"/>
        <v>60</v>
      </c>
      <c r="L27" s="34" t="s">
        <v>46</v>
      </c>
      <c r="N27" s="34">
        <f>SUMIF(B:B,L27,D:D)</f>
        <v>88</v>
      </c>
    </row>
    <row r="28" spans="2:14" ht="27.95" customHeight="1" x14ac:dyDescent="0.25">
      <c r="B28" s="31" t="s">
        <v>31</v>
      </c>
      <c r="C28" s="32"/>
      <c r="D28" s="33">
        <v>1</v>
      </c>
      <c r="E28" s="34" t="s">
        <v>67</v>
      </c>
      <c r="F28" s="35">
        <f>IFERROR(IF(ISNUMBER(INDEX('Signage Schedule'!$D:$D,MATCH(B28,'Signage Schedule'!$A:$A,0))),INDEX('Signage Schedule'!$D:$D,MATCH(B28,'Signage Schedule'!$A:$A,0)),0),0)</f>
        <v>50</v>
      </c>
      <c r="G28" s="36"/>
      <c r="H28" s="35"/>
      <c r="I28" s="35">
        <f t="shared" si="0"/>
        <v>50</v>
      </c>
    </row>
    <row r="29" spans="2:14" ht="27.95" customHeight="1" x14ac:dyDescent="0.25">
      <c r="B29" s="31" t="s">
        <v>33</v>
      </c>
      <c r="C29" s="32"/>
      <c r="D29" s="33">
        <v>10</v>
      </c>
      <c r="E29" s="34" t="s">
        <v>67</v>
      </c>
      <c r="F29" s="35">
        <f>IFERROR(IF(ISNUMBER(INDEX('Signage Schedule'!$D:$D,MATCH(B29,'Signage Schedule'!$A:$A,0))),INDEX('Signage Schedule'!$D:$D,MATCH(B29,'Signage Schedule'!$A:$A,0)),0),0)</f>
        <v>50</v>
      </c>
      <c r="G29" s="36"/>
      <c r="H29" s="35"/>
      <c r="I29" s="35">
        <f t="shared" si="0"/>
        <v>500</v>
      </c>
    </row>
    <row r="30" spans="2:14" ht="27.95" customHeight="1" x14ac:dyDescent="0.25">
      <c r="B30" s="31" t="s">
        <v>34</v>
      </c>
      <c r="C30" s="32"/>
      <c r="D30" s="33">
        <v>1</v>
      </c>
      <c r="E30" s="34" t="s">
        <v>67</v>
      </c>
      <c r="F30" s="35">
        <f>IFERROR(IF(ISNUMBER(INDEX('Signage Schedule'!$D:$D,MATCH(B30,'Signage Schedule'!$A:$A,0))),INDEX('Signage Schedule'!$D:$D,MATCH(B30,'Signage Schedule'!$A:$A,0)),0),0)</f>
        <v>400</v>
      </c>
      <c r="G30" s="36"/>
      <c r="H30" s="35"/>
      <c r="I30" s="35">
        <f t="shared" si="0"/>
        <v>400</v>
      </c>
    </row>
    <row r="31" spans="2:14" ht="27.95" customHeight="1" x14ac:dyDescent="0.25">
      <c r="B31" s="31" t="s">
        <v>36</v>
      </c>
      <c r="C31" s="32"/>
      <c r="D31" s="33">
        <v>3</v>
      </c>
      <c r="E31" s="34" t="s">
        <v>67</v>
      </c>
      <c r="F31" s="35">
        <f>IFERROR(IF(ISNUMBER(INDEX('Signage Schedule'!$D:$D,MATCH(B31,'Signage Schedule'!$A:$A,0))),INDEX('Signage Schedule'!$D:$D,MATCH(B31,'Signage Schedule'!$A:$A,0)),0),0)</f>
        <v>50</v>
      </c>
      <c r="G31" s="36"/>
      <c r="H31" s="35"/>
      <c r="I31" s="35">
        <f t="shared" si="0"/>
        <v>150</v>
      </c>
    </row>
    <row r="32" spans="2:14" ht="27.95" customHeight="1" x14ac:dyDescent="0.25">
      <c r="B32" s="31" t="s">
        <v>25</v>
      </c>
      <c r="C32" s="32"/>
      <c r="D32" s="33">
        <v>3</v>
      </c>
      <c r="E32" s="34" t="s">
        <v>67</v>
      </c>
      <c r="F32" s="35">
        <f>IFERROR(IF(ISNUMBER(INDEX('Signage Schedule'!$D:$D,MATCH(B32,'Signage Schedule'!$A:$A,0))),INDEX('Signage Schedule'!$D:$D,MATCH(B32,'Signage Schedule'!$A:$A,0)),0),0)</f>
        <v>50</v>
      </c>
      <c r="G32" s="36"/>
      <c r="H32" s="35"/>
      <c r="I32" s="35">
        <f t="shared" si="0"/>
        <v>150</v>
      </c>
    </row>
    <row r="33" spans="2:9" x14ac:dyDescent="0.25">
      <c r="B33" s="29" t="s">
        <v>42</v>
      </c>
      <c r="C33" s="30"/>
      <c r="D33" s="30"/>
      <c r="E33" s="30"/>
      <c r="F33" s="30"/>
      <c r="G33" s="30"/>
      <c r="H33" s="30"/>
      <c r="I33" s="35">
        <f t="shared" si="0"/>
        <v>0</v>
      </c>
    </row>
    <row r="34" spans="2:9" ht="27.95" customHeight="1" x14ac:dyDescent="0.25">
      <c r="B34" s="31" t="s">
        <v>43</v>
      </c>
      <c r="C34" s="32"/>
      <c r="D34" s="33">
        <v>13</v>
      </c>
      <c r="E34" s="34" t="s">
        <v>67</v>
      </c>
      <c r="F34" s="35">
        <f>IFERROR(IF(ISNUMBER(INDEX('Signage Schedule'!$D:$D,MATCH(B34,'Signage Schedule'!$A:$A,0))),INDEX('Signage Schedule'!$D:$D,MATCH(B34,'Signage Schedule'!$A:$A,0)),0),0)</f>
        <v>50</v>
      </c>
      <c r="G34" s="36"/>
      <c r="H34" s="35"/>
      <c r="I34" s="35">
        <f t="shared" si="0"/>
        <v>650</v>
      </c>
    </row>
    <row r="35" spans="2:9" ht="27.95" customHeight="1" x14ac:dyDescent="0.25">
      <c r="B35" s="31" t="s">
        <v>44</v>
      </c>
      <c r="C35" s="32"/>
      <c r="D35" s="33">
        <v>2</v>
      </c>
      <c r="E35" s="34" t="s">
        <v>67</v>
      </c>
      <c r="F35" s="35">
        <f>IFERROR(IF(ISNUMBER(INDEX('Signage Schedule'!$D:$D,MATCH(B35,'Signage Schedule'!$A:$A,0))),INDEX('Signage Schedule'!$D:$D,MATCH(B35,'Signage Schedule'!$A:$A,0)),0),0)</f>
        <v>85</v>
      </c>
      <c r="G35" s="36"/>
      <c r="H35" s="35"/>
      <c r="I35" s="35">
        <f t="shared" si="0"/>
        <v>170</v>
      </c>
    </row>
    <row r="36" spans="2:9" ht="27.95" customHeight="1" x14ac:dyDescent="0.25">
      <c r="B36" s="31" t="s">
        <v>46</v>
      </c>
      <c r="C36" s="32"/>
      <c r="D36" s="33">
        <v>8</v>
      </c>
      <c r="E36" s="34" t="s">
        <v>67</v>
      </c>
      <c r="F36" s="35">
        <f>IFERROR(IF(ISNUMBER(INDEX('Signage Schedule'!$D:$D,MATCH(B36,'Signage Schedule'!$A:$A,0))),INDEX('Signage Schedule'!$D:$D,MATCH(B36,'Signage Schedule'!$A:$A,0)),0),0)</f>
        <v>50</v>
      </c>
      <c r="G36" s="36"/>
      <c r="H36" s="35"/>
      <c r="I36" s="35">
        <f t="shared" si="0"/>
        <v>400</v>
      </c>
    </row>
    <row r="37" spans="2:9" x14ac:dyDescent="0.25">
      <c r="B37" s="24" t="s">
        <v>70</v>
      </c>
      <c r="C37" s="37"/>
      <c r="D37" s="37"/>
      <c r="E37" s="37"/>
      <c r="F37" s="37"/>
      <c r="G37" s="37"/>
      <c r="H37" s="37"/>
      <c r="I37" s="37"/>
    </row>
    <row r="38" spans="2:9" x14ac:dyDescent="0.25">
      <c r="B38" s="29" t="s">
        <v>17</v>
      </c>
      <c r="C38" s="30"/>
      <c r="D38" s="30"/>
      <c r="E38" s="30"/>
      <c r="F38" s="30"/>
      <c r="G38" s="30"/>
      <c r="H38" s="30"/>
      <c r="I38" s="30"/>
    </row>
    <row r="39" spans="2:9" ht="27.95" customHeight="1" x14ac:dyDescent="0.25">
      <c r="B39" s="31" t="s">
        <v>33</v>
      </c>
      <c r="C39" s="32"/>
      <c r="D39" s="33">
        <v>3</v>
      </c>
      <c r="E39" s="34" t="s">
        <v>67</v>
      </c>
      <c r="F39" s="35">
        <f>IFERROR(IF(ISNUMBER(INDEX('Signage Schedule'!$D:$D,MATCH(B39,'Signage Schedule'!$A:$A,0))),INDEX('Signage Schedule'!$D:$D,MATCH(B39,'Signage Schedule'!$A:$A,0)),0),0)</f>
        <v>50</v>
      </c>
      <c r="G39" s="36"/>
      <c r="H39" s="35"/>
      <c r="I39" s="35">
        <f t="shared" si="0"/>
        <v>150</v>
      </c>
    </row>
    <row r="40" spans="2:9" ht="27.95" customHeight="1" x14ac:dyDescent="0.25">
      <c r="B40" s="31" t="s">
        <v>38</v>
      </c>
      <c r="C40" s="32"/>
      <c r="D40" s="33">
        <v>9</v>
      </c>
      <c r="E40" s="34" t="s">
        <v>67</v>
      </c>
      <c r="F40" s="35">
        <f>IFERROR(IF(ISNUMBER(INDEX('Signage Schedule'!$D:$D,MATCH(B40,'Signage Schedule'!$A:$A,0))),INDEX('Signage Schedule'!$D:$D,MATCH(B40,'Signage Schedule'!$A:$A,0)),0),0)</f>
        <v>60</v>
      </c>
      <c r="G40" s="36"/>
      <c r="H40" s="35"/>
      <c r="I40" s="35">
        <f t="shared" si="0"/>
        <v>540</v>
      </c>
    </row>
    <row r="41" spans="2:9" ht="27.95" customHeight="1" x14ac:dyDescent="0.25">
      <c r="B41" s="31" t="s">
        <v>21</v>
      </c>
      <c r="C41" s="32"/>
      <c r="D41" s="33">
        <v>2</v>
      </c>
      <c r="E41" s="34" t="s">
        <v>67</v>
      </c>
      <c r="F41" s="35">
        <f>IFERROR(IF(ISNUMBER(INDEX('Signage Schedule'!$D:$D,MATCH(B41,'Signage Schedule'!$A:$A,0))),INDEX('Signage Schedule'!$D:$D,MATCH(B41,'Signage Schedule'!$A:$A,0)),0),0)</f>
        <v>45</v>
      </c>
      <c r="G41" s="36"/>
      <c r="H41" s="35"/>
      <c r="I41" s="35">
        <f t="shared" si="0"/>
        <v>90</v>
      </c>
    </row>
    <row r="42" spans="2:9" ht="27.95" customHeight="1" x14ac:dyDescent="0.25">
      <c r="B42" s="31" t="s">
        <v>18</v>
      </c>
      <c r="C42" s="32"/>
      <c r="D42" s="33">
        <v>2</v>
      </c>
      <c r="E42" s="34" t="s">
        <v>67</v>
      </c>
      <c r="F42" s="35">
        <f>IFERROR(IF(ISNUMBER(INDEX('Signage Schedule'!$D:$D,MATCH(B42,'Signage Schedule'!$A:$A,0))),INDEX('Signage Schedule'!$D:$D,MATCH(B42,'Signage Schedule'!$A:$A,0)),0),0)</f>
        <v>85</v>
      </c>
      <c r="G42" s="36"/>
      <c r="H42" s="35"/>
      <c r="I42" s="35">
        <f t="shared" si="0"/>
        <v>170</v>
      </c>
    </row>
    <row r="43" spans="2:9" ht="27.95" customHeight="1" x14ac:dyDescent="0.25">
      <c r="B43" s="31" t="s">
        <v>23</v>
      </c>
      <c r="C43" s="32"/>
      <c r="D43" s="33">
        <v>2</v>
      </c>
      <c r="E43" s="34" t="s">
        <v>67</v>
      </c>
      <c r="F43" s="35">
        <f>IFERROR(IF(ISNUMBER(INDEX('Signage Schedule'!$D:$D,MATCH(B43,'Signage Schedule'!$A:$A,0))),INDEX('Signage Schedule'!$D:$D,MATCH(B43,'Signage Schedule'!$A:$A,0)),0),0)</f>
        <v>50</v>
      </c>
      <c r="G43" s="36"/>
      <c r="H43" s="35"/>
      <c r="I43" s="35">
        <f t="shared" si="0"/>
        <v>100</v>
      </c>
    </row>
    <row r="44" spans="2:9" ht="27.95" customHeight="1" x14ac:dyDescent="0.25">
      <c r="B44" s="31" t="s">
        <v>29</v>
      </c>
      <c r="C44" s="32"/>
      <c r="D44" s="33">
        <v>2</v>
      </c>
      <c r="E44" s="34" t="s">
        <v>67</v>
      </c>
      <c r="F44" s="35">
        <f>IFERROR(IF(ISNUMBER(INDEX('Signage Schedule'!$D:$D,MATCH(B44,'Signage Schedule'!$A:$A,0))),INDEX('Signage Schedule'!$D:$D,MATCH(B44,'Signage Schedule'!$A:$A,0)),0),0)</f>
        <v>30</v>
      </c>
      <c r="G44" s="36"/>
      <c r="H44" s="35"/>
      <c r="I44" s="35">
        <f t="shared" si="0"/>
        <v>60</v>
      </c>
    </row>
    <row r="45" spans="2:9" ht="27.95" customHeight="1" x14ac:dyDescent="0.25">
      <c r="B45" s="31" t="s">
        <v>27</v>
      </c>
      <c r="C45" s="32"/>
      <c r="D45" s="33">
        <v>3</v>
      </c>
      <c r="E45" s="34" t="s">
        <v>67</v>
      </c>
      <c r="F45" s="35">
        <f>IFERROR(IF(ISNUMBER(INDEX('Signage Schedule'!$D:$D,MATCH(B45,'Signage Schedule'!$A:$A,0))),INDEX('Signage Schedule'!$D:$D,MATCH(B45,'Signage Schedule'!$A:$A,0)),0),0)</f>
        <v>50</v>
      </c>
      <c r="G45" s="36"/>
      <c r="H45" s="35"/>
      <c r="I45" s="35">
        <f t="shared" si="0"/>
        <v>150</v>
      </c>
    </row>
    <row r="46" spans="2:9" ht="27.95" customHeight="1" x14ac:dyDescent="0.25">
      <c r="B46" s="31" t="s">
        <v>25</v>
      </c>
      <c r="C46" s="32"/>
      <c r="D46" s="33">
        <v>2</v>
      </c>
      <c r="E46" s="34" t="s">
        <v>67</v>
      </c>
      <c r="F46" s="35">
        <f>IFERROR(IF(ISNUMBER(INDEX('Signage Schedule'!$D:$D,MATCH(B46,'Signage Schedule'!$A:$A,0))),INDEX('Signage Schedule'!$D:$D,MATCH(B46,'Signage Schedule'!$A:$A,0)),0),0)</f>
        <v>50</v>
      </c>
      <c r="G46" s="36"/>
      <c r="H46" s="35"/>
      <c r="I46" s="35">
        <f t="shared" si="0"/>
        <v>100</v>
      </c>
    </row>
    <row r="47" spans="2:9" x14ac:dyDescent="0.25">
      <c r="B47" s="29" t="s">
        <v>42</v>
      </c>
      <c r="C47" s="30"/>
      <c r="D47" s="30"/>
      <c r="E47" s="30"/>
      <c r="F47" s="30"/>
      <c r="G47" s="30"/>
      <c r="H47" s="30"/>
      <c r="I47" s="30"/>
    </row>
    <row r="48" spans="2:9" ht="27.95" customHeight="1" x14ac:dyDescent="0.25">
      <c r="B48" s="31" t="s">
        <v>43</v>
      </c>
      <c r="C48" s="32"/>
      <c r="D48" s="33">
        <v>11</v>
      </c>
      <c r="E48" s="34" t="s">
        <v>67</v>
      </c>
      <c r="F48" s="35">
        <f>IFERROR(IF(ISNUMBER(INDEX('Signage Schedule'!$D:$D,MATCH(B48,'Signage Schedule'!$A:$A,0))),INDEX('Signage Schedule'!$D:$D,MATCH(B48,'Signage Schedule'!$A:$A,0)),0),0)</f>
        <v>50</v>
      </c>
      <c r="G48" s="36"/>
      <c r="H48" s="35"/>
      <c r="I48" s="35">
        <f t="shared" si="0"/>
        <v>550</v>
      </c>
    </row>
    <row r="49" spans="2:9" ht="27.95" customHeight="1" x14ac:dyDescent="0.25">
      <c r="B49" s="31" t="s">
        <v>44</v>
      </c>
      <c r="C49" s="32"/>
      <c r="D49" s="33">
        <v>4</v>
      </c>
      <c r="E49" s="34" t="s">
        <v>67</v>
      </c>
      <c r="F49" s="35">
        <f>IFERROR(IF(ISNUMBER(INDEX('Signage Schedule'!$D:$D,MATCH(B49,'Signage Schedule'!$A:$A,0))),INDEX('Signage Schedule'!$D:$D,MATCH(B49,'Signage Schedule'!$A:$A,0)),0),0)</f>
        <v>85</v>
      </c>
      <c r="G49" s="36"/>
      <c r="H49" s="35"/>
      <c r="I49" s="35">
        <f t="shared" si="0"/>
        <v>340</v>
      </c>
    </row>
    <row r="50" spans="2:9" ht="27.95" customHeight="1" x14ac:dyDescent="0.25">
      <c r="B50" s="31" t="s">
        <v>46</v>
      </c>
      <c r="C50" s="32"/>
      <c r="D50" s="33">
        <v>8</v>
      </c>
      <c r="E50" s="34" t="s">
        <v>67</v>
      </c>
      <c r="F50" s="35">
        <f>IFERROR(IF(ISNUMBER(INDEX('Signage Schedule'!$D:$D,MATCH(B50,'Signage Schedule'!$A:$A,0))),INDEX('Signage Schedule'!$D:$D,MATCH(B50,'Signage Schedule'!$A:$A,0)),0),0)</f>
        <v>50</v>
      </c>
      <c r="G50" s="36"/>
      <c r="H50" s="35"/>
      <c r="I50" s="35">
        <f t="shared" si="0"/>
        <v>400</v>
      </c>
    </row>
    <row r="51" spans="2:9" x14ac:dyDescent="0.25">
      <c r="B51" s="24" t="s">
        <v>71</v>
      </c>
      <c r="C51" s="37"/>
      <c r="D51" s="37"/>
      <c r="E51" s="37"/>
      <c r="F51" s="37"/>
      <c r="G51" s="37"/>
      <c r="H51" s="37"/>
      <c r="I51" s="37"/>
    </row>
    <row r="52" spans="2:9" x14ac:dyDescent="0.25">
      <c r="B52" s="29" t="s">
        <v>17</v>
      </c>
      <c r="C52" s="30"/>
      <c r="D52" s="30"/>
      <c r="E52" s="30"/>
      <c r="F52" s="30"/>
      <c r="G52" s="30"/>
      <c r="H52" s="30"/>
      <c r="I52" s="30"/>
    </row>
    <row r="53" spans="2:9" ht="27.95" customHeight="1" x14ac:dyDescent="0.25">
      <c r="B53" s="31" t="s">
        <v>38</v>
      </c>
      <c r="C53" s="32"/>
      <c r="D53" s="33">
        <v>12</v>
      </c>
      <c r="E53" s="34" t="s">
        <v>67</v>
      </c>
      <c r="F53" s="35">
        <f>IFERROR(IF(ISNUMBER(INDEX('Signage Schedule'!$D:$D,MATCH(B53,'Signage Schedule'!$A:$A,0))),INDEX('Signage Schedule'!$D:$D,MATCH(B53,'Signage Schedule'!$A:$A,0)),0),0)</f>
        <v>60</v>
      </c>
      <c r="G53" s="36"/>
      <c r="H53" s="35"/>
      <c r="I53" s="35">
        <f t="shared" si="0"/>
        <v>720</v>
      </c>
    </row>
    <row r="54" spans="2:9" ht="27.95" customHeight="1" x14ac:dyDescent="0.25">
      <c r="B54" s="31" t="s">
        <v>21</v>
      </c>
      <c r="C54" s="32"/>
      <c r="D54" s="33">
        <v>2</v>
      </c>
      <c r="E54" s="34" t="s">
        <v>67</v>
      </c>
      <c r="F54" s="35">
        <f>IFERROR(IF(ISNUMBER(INDEX('Signage Schedule'!$D:$D,MATCH(B54,'Signage Schedule'!$A:$A,0))),INDEX('Signage Schedule'!$D:$D,MATCH(B54,'Signage Schedule'!$A:$A,0)),0),0)</f>
        <v>45</v>
      </c>
      <c r="G54" s="36"/>
      <c r="H54" s="35"/>
      <c r="I54" s="35">
        <f t="shared" si="0"/>
        <v>90</v>
      </c>
    </row>
    <row r="55" spans="2:9" ht="27.95" customHeight="1" x14ac:dyDescent="0.25">
      <c r="B55" s="31" t="s">
        <v>18</v>
      </c>
      <c r="C55" s="32"/>
      <c r="D55" s="33">
        <v>2</v>
      </c>
      <c r="E55" s="34" t="s">
        <v>67</v>
      </c>
      <c r="F55" s="35">
        <f>IFERROR(IF(ISNUMBER(INDEX('Signage Schedule'!$D:$D,MATCH(B55,'Signage Schedule'!$A:$A,0))),INDEX('Signage Schedule'!$D:$D,MATCH(B55,'Signage Schedule'!$A:$A,0)),0),0)</f>
        <v>85</v>
      </c>
      <c r="G55" s="36"/>
      <c r="H55" s="35"/>
      <c r="I55" s="35">
        <f t="shared" si="0"/>
        <v>170</v>
      </c>
    </row>
    <row r="56" spans="2:9" ht="27.95" customHeight="1" x14ac:dyDescent="0.25">
      <c r="B56" s="31" t="s">
        <v>23</v>
      </c>
      <c r="C56" s="32"/>
      <c r="D56" s="33">
        <v>2</v>
      </c>
      <c r="E56" s="34" t="s">
        <v>67</v>
      </c>
      <c r="F56" s="35">
        <f>IFERROR(IF(ISNUMBER(INDEX('Signage Schedule'!$D:$D,MATCH(B56,'Signage Schedule'!$A:$A,0))),INDEX('Signage Schedule'!$D:$D,MATCH(B56,'Signage Schedule'!$A:$A,0)),0),0)</f>
        <v>50</v>
      </c>
      <c r="G56" s="36"/>
      <c r="H56" s="35"/>
      <c r="I56" s="35">
        <f t="shared" si="0"/>
        <v>100</v>
      </c>
    </row>
    <row r="57" spans="2:9" ht="27.95" customHeight="1" x14ac:dyDescent="0.25">
      <c r="B57" s="31" t="s">
        <v>29</v>
      </c>
      <c r="C57" s="32"/>
      <c r="D57" s="33">
        <v>2</v>
      </c>
      <c r="E57" s="34" t="s">
        <v>67</v>
      </c>
      <c r="F57" s="35">
        <f>IFERROR(IF(ISNUMBER(INDEX('Signage Schedule'!$D:$D,MATCH(B57,'Signage Schedule'!$A:$A,0))),INDEX('Signage Schedule'!$D:$D,MATCH(B57,'Signage Schedule'!$A:$A,0)),0),0)</f>
        <v>30</v>
      </c>
      <c r="G57" s="36"/>
      <c r="H57" s="35"/>
      <c r="I57" s="35">
        <f t="shared" si="0"/>
        <v>60</v>
      </c>
    </row>
    <row r="58" spans="2:9" ht="27.95" customHeight="1" x14ac:dyDescent="0.25">
      <c r="B58" s="31" t="s">
        <v>27</v>
      </c>
      <c r="C58" s="32"/>
      <c r="D58" s="33">
        <v>3</v>
      </c>
      <c r="E58" s="34" t="s">
        <v>67</v>
      </c>
      <c r="F58" s="35">
        <f>IFERROR(IF(ISNUMBER(INDEX('Signage Schedule'!$D:$D,MATCH(B58,'Signage Schedule'!$A:$A,0))),INDEX('Signage Schedule'!$D:$D,MATCH(B58,'Signage Schedule'!$A:$A,0)),0),0)</f>
        <v>50</v>
      </c>
      <c r="G58" s="36"/>
      <c r="H58" s="35"/>
      <c r="I58" s="35">
        <f t="shared" si="0"/>
        <v>150</v>
      </c>
    </row>
    <row r="59" spans="2:9" ht="27.95" customHeight="1" x14ac:dyDescent="0.25">
      <c r="B59" s="31" t="s">
        <v>25</v>
      </c>
      <c r="C59" s="32"/>
      <c r="D59" s="33">
        <v>2</v>
      </c>
      <c r="E59" s="34" t="s">
        <v>67</v>
      </c>
      <c r="F59" s="35">
        <f>IFERROR(IF(ISNUMBER(INDEX('Signage Schedule'!$D:$D,MATCH(B59,'Signage Schedule'!$A:$A,0))),INDEX('Signage Schedule'!$D:$D,MATCH(B59,'Signage Schedule'!$A:$A,0)),0),0)</f>
        <v>50</v>
      </c>
      <c r="G59" s="36"/>
      <c r="H59" s="35"/>
      <c r="I59" s="35">
        <f t="shared" si="0"/>
        <v>100</v>
      </c>
    </row>
    <row r="60" spans="2:9" x14ac:dyDescent="0.25">
      <c r="B60" s="29" t="s">
        <v>42</v>
      </c>
      <c r="C60" s="30"/>
      <c r="D60" s="30"/>
      <c r="E60" s="30"/>
      <c r="F60" s="30"/>
      <c r="G60" s="30"/>
      <c r="H60" s="30"/>
      <c r="I60" s="30"/>
    </row>
    <row r="61" spans="2:9" ht="27.95" customHeight="1" x14ac:dyDescent="0.25">
      <c r="B61" s="31" t="s">
        <v>43</v>
      </c>
      <c r="C61" s="32"/>
      <c r="D61" s="33">
        <v>6</v>
      </c>
      <c r="E61" s="34" t="s">
        <v>67</v>
      </c>
      <c r="F61" s="35">
        <f>IFERROR(IF(ISNUMBER(INDEX('Signage Schedule'!$D:$D,MATCH(B61,'Signage Schedule'!$A:$A,0))),INDEX('Signage Schedule'!$D:$D,MATCH(B61,'Signage Schedule'!$A:$A,0)),0),0)</f>
        <v>50</v>
      </c>
      <c r="G61" s="36"/>
      <c r="H61" s="35"/>
      <c r="I61" s="35">
        <f t="shared" si="0"/>
        <v>300</v>
      </c>
    </row>
    <row r="62" spans="2:9" ht="27.95" customHeight="1" x14ac:dyDescent="0.25">
      <c r="B62" s="31" t="s">
        <v>44</v>
      </c>
      <c r="C62" s="32"/>
      <c r="D62" s="33">
        <v>4</v>
      </c>
      <c r="E62" s="34" t="s">
        <v>67</v>
      </c>
      <c r="F62" s="35">
        <f>IFERROR(IF(ISNUMBER(INDEX('Signage Schedule'!$D:$D,MATCH(B62,'Signage Schedule'!$A:$A,0))),INDEX('Signage Schedule'!$D:$D,MATCH(B62,'Signage Schedule'!$A:$A,0)),0),0)</f>
        <v>85</v>
      </c>
      <c r="G62" s="36"/>
      <c r="H62" s="35"/>
      <c r="I62" s="35">
        <f t="shared" si="0"/>
        <v>340</v>
      </c>
    </row>
    <row r="63" spans="2:9" ht="27.95" customHeight="1" x14ac:dyDescent="0.25">
      <c r="B63" s="31" t="s">
        <v>46</v>
      </c>
      <c r="C63" s="32"/>
      <c r="D63" s="33">
        <v>8</v>
      </c>
      <c r="E63" s="34" t="s">
        <v>67</v>
      </c>
      <c r="F63" s="35">
        <f>IFERROR(IF(ISNUMBER(INDEX('Signage Schedule'!$D:$D,MATCH(B63,'Signage Schedule'!$A:$A,0))),INDEX('Signage Schedule'!$D:$D,MATCH(B63,'Signage Schedule'!$A:$A,0)),0),0)</f>
        <v>50</v>
      </c>
      <c r="G63" s="36"/>
      <c r="H63" s="35"/>
      <c r="I63" s="35">
        <f t="shared" si="0"/>
        <v>400</v>
      </c>
    </row>
    <row r="64" spans="2:9" x14ac:dyDescent="0.25">
      <c r="B64" s="24" t="s">
        <v>72</v>
      </c>
      <c r="C64" s="37"/>
      <c r="D64" s="37"/>
      <c r="E64" s="37"/>
      <c r="F64" s="37"/>
      <c r="G64" s="37"/>
      <c r="H64" s="37"/>
      <c r="I64" s="37"/>
    </row>
    <row r="65" spans="2:9" x14ac:dyDescent="0.25">
      <c r="B65" s="29" t="s">
        <v>17</v>
      </c>
      <c r="C65" s="30"/>
      <c r="D65" s="30"/>
      <c r="E65" s="30"/>
      <c r="F65" s="30"/>
      <c r="G65" s="30"/>
      <c r="H65" s="30"/>
      <c r="I65" s="30"/>
    </row>
    <row r="66" spans="2:9" ht="27.95" customHeight="1" x14ac:dyDescent="0.25">
      <c r="B66" s="31" t="s">
        <v>38</v>
      </c>
      <c r="C66" s="32"/>
      <c r="D66" s="33">
        <v>12</v>
      </c>
      <c r="E66" s="34" t="s">
        <v>67</v>
      </c>
      <c r="F66" s="35">
        <f>IFERROR(IF(ISNUMBER(INDEX('Signage Schedule'!$D:$D,MATCH(B66,'Signage Schedule'!$A:$A,0))),INDEX('Signage Schedule'!$D:$D,MATCH(B66,'Signage Schedule'!$A:$A,0)),0),0)</f>
        <v>60</v>
      </c>
      <c r="G66" s="36"/>
      <c r="H66" s="35"/>
      <c r="I66" s="35">
        <f t="shared" si="0"/>
        <v>720</v>
      </c>
    </row>
    <row r="67" spans="2:9" ht="27.95" customHeight="1" x14ac:dyDescent="0.25">
      <c r="B67" s="31" t="s">
        <v>21</v>
      </c>
      <c r="C67" s="32"/>
      <c r="D67" s="33">
        <v>2</v>
      </c>
      <c r="E67" s="34" t="s">
        <v>67</v>
      </c>
      <c r="F67" s="35">
        <f>IFERROR(IF(ISNUMBER(INDEX('Signage Schedule'!$D:$D,MATCH(B67,'Signage Schedule'!$A:$A,0))),INDEX('Signage Schedule'!$D:$D,MATCH(B67,'Signage Schedule'!$A:$A,0)),0),0)</f>
        <v>45</v>
      </c>
      <c r="G67" s="36"/>
      <c r="H67" s="35"/>
      <c r="I67" s="35">
        <f t="shared" si="0"/>
        <v>90</v>
      </c>
    </row>
    <row r="68" spans="2:9" ht="27.95" customHeight="1" x14ac:dyDescent="0.25">
      <c r="B68" s="31" t="s">
        <v>18</v>
      </c>
      <c r="C68" s="32"/>
      <c r="D68" s="33">
        <v>2</v>
      </c>
      <c r="E68" s="34" t="s">
        <v>67</v>
      </c>
      <c r="F68" s="35">
        <f>IFERROR(IF(ISNUMBER(INDEX('Signage Schedule'!$D:$D,MATCH(B68,'Signage Schedule'!$A:$A,0))),INDEX('Signage Schedule'!$D:$D,MATCH(B68,'Signage Schedule'!$A:$A,0)),0),0)</f>
        <v>85</v>
      </c>
      <c r="G68" s="36"/>
      <c r="H68" s="35"/>
      <c r="I68" s="35">
        <f t="shared" si="0"/>
        <v>170</v>
      </c>
    </row>
    <row r="69" spans="2:9" ht="27.95" customHeight="1" x14ac:dyDescent="0.25">
      <c r="B69" s="31" t="s">
        <v>23</v>
      </c>
      <c r="C69" s="32"/>
      <c r="D69" s="33">
        <v>2</v>
      </c>
      <c r="E69" s="34" t="s">
        <v>67</v>
      </c>
      <c r="F69" s="35">
        <f>IFERROR(IF(ISNUMBER(INDEX('Signage Schedule'!$D:$D,MATCH(B69,'Signage Schedule'!$A:$A,0))),INDEX('Signage Schedule'!$D:$D,MATCH(B69,'Signage Schedule'!$A:$A,0)),0),0)</f>
        <v>50</v>
      </c>
      <c r="G69" s="36"/>
      <c r="H69" s="35"/>
      <c r="I69" s="35">
        <f t="shared" si="0"/>
        <v>100</v>
      </c>
    </row>
    <row r="70" spans="2:9" ht="27.95" customHeight="1" x14ac:dyDescent="0.25">
      <c r="B70" s="31" t="s">
        <v>29</v>
      </c>
      <c r="C70" s="32"/>
      <c r="D70" s="33">
        <v>2</v>
      </c>
      <c r="E70" s="34" t="s">
        <v>67</v>
      </c>
      <c r="F70" s="35">
        <f>IFERROR(IF(ISNUMBER(INDEX('Signage Schedule'!$D:$D,MATCH(B70,'Signage Schedule'!$A:$A,0))),INDEX('Signage Schedule'!$D:$D,MATCH(B70,'Signage Schedule'!$A:$A,0)),0),0)</f>
        <v>30</v>
      </c>
      <c r="G70" s="36"/>
      <c r="H70" s="35"/>
      <c r="I70" s="35">
        <f t="shared" si="0"/>
        <v>60</v>
      </c>
    </row>
    <row r="71" spans="2:9" ht="27.95" customHeight="1" x14ac:dyDescent="0.25">
      <c r="B71" s="31" t="s">
        <v>27</v>
      </c>
      <c r="C71" s="32"/>
      <c r="D71" s="33">
        <v>3</v>
      </c>
      <c r="E71" s="34" t="s">
        <v>67</v>
      </c>
      <c r="F71" s="35">
        <f>IFERROR(IF(ISNUMBER(INDEX('Signage Schedule'!$D:$D,MATCH(B71,'Signage Schedule'!$A:$A,0))),INDEX('Signage Schedule'!$D:$D,MATCH(B71,'Signage Schedule'!$A:$A,0)),0),0)</f>
        <v>50</v>
      </c>
      <c r="G71" s="36"/>
      <c r="H71" s="35"/>
      <c r="I71" s="35">
        <f t="shared" si="0"/>
        <v>150</v>
      </c>
    </row>
    <row r="72" spans="2:9" ht="27.95" customHeight="1" x14ac:dyDescent="0.25">
      <c r="B72" s="31" t="s">
        <v>25</v>
      </c>
      <c r="C72" s="32"/>
      <c r="D72" s="33">
        <v>2</v>
      </c>
      <c r="E72" s="34" t="s">
        <v>67</v>
      </c>
      <c r="F72" s="35">
        <f>IFERROR(IF(ISNUMBER(INDEX('Signage Schedule'!$D:$D,MATCH(B72,'Signage Schedule'!$A:$A,0))),INDEX('Signage Schedule'!$D:$D,MATCH(B72,'Signage Schedule'!$A:$A,0)),0),0)</f>
        <v>50</v>
      </c>
      <c r="G72" s="36"/>
      <c r="H72" s="35"/>
      <c r="I72" s="35">
        <f t="shared" ref="I72:I135" si="2">D72*F72</f>
        <v>100</v>
      </c>
    </row>
    <row r="73" spans="2:9" x14ac:dyDescent="0.25">
      <c r="B73" s="29" t="s">
        <v>42</v>
      </c>
      <c r="C73" s="30"/>
      <c r="D73" s="30"/>
      <c r="E73" s="30"/>
      <c r="F73" s="30"/>
      <c r="G73" s="30"/>
      <c r="H73" s="30"/>
      <c r="I73" s="30"/>
    </row>
    <row r="74" spans="2:9" ht="27.95" customHeight="1" x14ac:dyDescent="0.25">
      <c r="B74" s="31" t="s">
        <v>43</v>
      </c>
      <c r="C74" s="32"/>
      <c r="D74" s="33">
        <v>6</v>
      </c>
      <c r="E74" s="34" t="s">
        <v>67</v>
      </c>
      <c r="F74" s="35">
        <f>IFERROR(IF(ISNUMBER(INDEX('Signage Schedule'!$D:$D,MATCH(B74,'Signage Schedule'!$A:$A,0))),INDEX('Signage Schedule'!$D:$D,MATCH(B74,'Signage Schedule'!$A:$A,0)),0),0)</f>
        <v>50</v>
      </c>
      <c r="G74" s="36"/>
      <c r="H74" s="35"/>
      <c r="I74" s="35">
        <f t="shared" si="2"/>
        <v>300</v>
      </c>
    </row>
    <row r="75" spans="2:9" ht="27.95" customHeight="1" x14ac:dyDescent="0.25">
      <c r="B75" s="31" t="s">
        <v>44</v>
      </c>
      <c r="C75" s="32"/>
      <c r="D75" s="33">
        <v>4</v>
      </c>
      <c r="E75" s="34" t="s">
        <v>67</v>
      </c>
      <c r="F75" s="35">
        <f>IFERROR(IF(ISNUMBER(INDEX('Signage Schedule'!$D:$D,MATCH(B75,'Signage Schedule'!$A:$A,0))),INDEX('Signage Schedule'!$D:$D,MATCH(B75,'Signage Schedule'!$A:$A,0)),0),0)</f>
        <v>85</v>
      </c>
      <c r="G75" s="36"/>
      <c r="H75" s="35"/>
      <c r="I75" s="35">
        <f t="shared" si="2"/>
        <v>340</v>
      </c>
    </row>
    <row r="76" spans="2:9" ht="27.95" customHeight="1" x14ac:dyDescent="0.25">
      <c r="B76" s="31" t="s">
        <v>46</v>
      </c>
      <c r="C76" s="32"/>
      <c r="D76" s="33">
        <v>8</v>
      </c>
      <c r="E76" s="34" t="s">
        <v>67</v>
      </c>
      <c r="F76" s="35">
        <f>IFERROR(IF(ISNUMBER(INDEX('Signage Schedule'!$D:$D,MATCH(B76,'Signage Schedule'!$A:$A,0))),INDEX('Signage Schedule'!$D:$D,MATCH(B76,'Signage Schedule'!$A:$A,0)),0),0)</f>
        <v>50</v>
      </c>
      <c r="G76" s="36"/>
      <c r="H76" s="35"/>
      <c r="I76" s="35">
        <f t="shared" si="2"/>
        <v>400</v>
      </c>
    </row>
    <row r="77" spans="2:9" x14ac:dyDescent="0.25">
      <c r="B77" s="24" t="s">
        <v>73</v>
      </c>
      <c r="C77" s="37"/>
      <c r="D77" s="37"/>
      <c r="E77" s="37"/>
      <c r="F77" s="37"/>
      <c r="G77" s="37"/>
      <c r="H77" s="37"/>
      <c r="I77" s="37"/>
    </row>
    <row r="78" spans="2:9" x14ac:dyDescent="0.25">
      <c r="B78" s="29" t="s">
        <v>17</v>
      </c>
      <c r="C78" s="30"/>
      <c r="D78" s="30"/>
      <c r="E78" s="30"/>
      <c r="F78" s="30"/>
      <c r="G78" s="30"/>
      <c r="H78" s="30"/>
      <c r="I78" s="30"/>
    </row>
    <row r="79" spans="2:9" ht="27.95" customHeight="1" x14ac:dyDescent="0.25">
      <c r="B79" s="31" t="s">
        <v>38</v>
      </c>
      <c r="C79" s="32"/>
      <c r="D79" s="33">
        <v>12</v>
      </c>
      <c r="E79" s="34" t="s">
        <v>67</v>
      </c>
      <c r="F79" s="35">
        <f>IFERROR(IF(ISNUMBER(INDEX('Signage Schedule'!$D:$D,MATCH(B79,'Signage Schedule'!$A:$A,0))),INDEX('Signage Schedule'!$D:$D,MATCH(B79,'Signage Schedule'!$A:$A,0)),0),0)</f>
        <v>60</v>
      </c>
      <c r="G79" s="36"/>
      <c r="H79" s="35"/>
      <c r="I79" s="35">
        <f t="shared" si="2"/>
        <v>720</v>
      </c>
    </row>
    <row r="80" spans="2:9" ht="27.95" customHeight="1" x14ac:dyDescent="0.25">
      <c r="B80" s="31" t="s">
        <v>21</v>
      </c>
      <c r="C80" s="32"/>
      <c r="D80" s="33">
        <v>2</v>
      </c>
      <c r="E80" s="34" t="s">
        <v>67</v>
      </c>
      <c r="F80" s="35">
        <f>IFERROR(IF(ISNUMBER(INDEX('Signage Schedule'!$D:$D,MATCH(B80,'Signage Schedule'!$A:$A,0))),INDEX('Signage Schedule'!$D:$D,MATCH(B80,'Signage Schedule'!$A:$A,0)),0),0)</f>
        <v>45</v>
      </c>
      <c r="G80" s="36"/>
      <c r="H80" s="35"/>
      <c r="I80" s="35">
        <f t="shared" si="2"/>
        <v>90</v>
      </c>
    </row>
    <row r="81" spans="2:9" ht="27.95" customHeight="1" x14ac:dyDescent="0.25">
      <c r="B81" s="31" t="s">
        <v>18</v>
      </c>
      <c r="C81" s="32"/>
      <c r="D81" s="33">
        <v>2</v>
      </c>
      <c r="E81" s="34" t="s">
        <v>67</v>
      </c>
      <c r="F81" s="35">
        <f>IFERROR(IF(ISNUMBER(INDEX('Signage Schedule'!$D:$D,MATCH(B81,'Signage Schedule'!$A:$A,0))),INDEX('Signage Schedule'!$D:$D,MATCH(B81,'Signage Schedule'!$A:$A,0)),0),0)</f>
        <v>85</v>
      </c>
      <c r="G81" s="36"/>
      <c r="H81" s="35"/>
      <c r="I81" s="35">
        <f t="shared" si="2"/>
        <v>170</v>
      </c>
    </row>
    <row r="82" spans="2:9" ht="27.95" customHeight="1" x14ac:dyDescent="0.25">
      <c r="B82" s="31" t="s">
        <v>23</v>
      </c>
      <c r="C82" s="32"/>
      <c r="D82" s="33">
        <v>2</v>
      </c>
      <c r="E82" s="34" t="s">
        <v>67</v>
      </c>
      <c r="F82" s="35">
        <f>IFERROR(IF(ISNUMBER(INDEX('Signage Schedule'!$D:$D,MATCH(B82,'Signage Schedule'!$A:$A,0))),INDEX('Signage Schedule'!$D:$D,MATCH(B82,'Signage Schedule'!$A:$A,0)),0),0)</f>
        <v>50</v>
      </c>
      <c r="G82" s="36"/>
      <c r="H82" s="35"/>
      <c r="I82" s="35">
        <f t="shared" si="2"/>
        <v>100</v>
      </c>
    </row>
    <row r="83" spans="2:9" ht="27.95" customHeight="1" x14ac:dyDescent="0.25">
      <c r="B83" s="31" t="s">
        <v>29</v>
      </c>
      <c r="C83" s="32"/>
      <c r="D83" s="33">
        <v>2</v>
      </c>
      <c r="E83" s="34" t="s">
        <v>67</v>
      </c>
      <c r="F83" s="35">
        <f>IFERROR(IF(ISNUMBER(INDEX('Signage Schedule'!$D:$D,MATCH(B83,'Signage Schedule'!$A:$A,0))),INDEX('Signage Schedule'!$D:$D,MATCH(B83,'Signage Schedule'!$A:$A,0)),0),0)</f>
        <v>30</v>
      </c>
      <c r="G83" s="36"/>
      <c r="H83" s="35"/>
      <c r="I83" s="35">
        <f t="shared" si="2"/>
        <v>60</v>
      </c>
    </row>
    <row r="84" spans="2:9" ht="27.95" customHeight="1" x14ac:dyDescent="0.25">
      <c r="B84" s="31" t="s">
        <v>27</v>
      </c>
      <c r="C84" s="32"/>
      <c r="D84" s="33">
        <v>3</v>
      </c>
      <c r="E84" s="34" t="s">
        <v>67</v>
      </c>
      <c r="F84" s="35">
        <f>IFERROR(IF(ISNUMBER(INDEX('Signage Schedule'!$D:$D,MATCH(B84,'Signage Schedule'!$A:$A,0))),INDEX('Signage Schedule'!$D:$D,MATCH(B84,'Signage Schedule'!$A:$A,0)),0),0)</f>
        <v>50</v>
      </c>
      <c r="G84" s="36"/>
      <c r="H84" s="35"/>
      <c r="I84" s="35">
        <f t="shared" si="2"/>
        <v>150</v>
      </c>
    </row>
    <row r="85" spans="2:9" ht="27.95" customHeight="1" x14ac:dyDescent="0.25">
      <c r="B85" s="31" t="s">
        <v>25</v>
      </c>
      <c r="C85" s="32"/>
      <c r="D85" s="33">
        <v>2</v>
      </c>
      <c r="E85" s="34" t="s">
        <v>67</v>
      </c>
      <c r="F85" s="35">
        <f>IFERROR(IF(ISNUMBER(INDEX('Signage Schedule'!$D:$D,MATCH(B85,'Signage Schedule'!$A:$A,0))),INDEX('Signage Schedule'!$D:$D,MATCH(B85,'Signage Schedule'!$A:$A,0)),0),0)</f>
        <v>50</v>
      </c>
      <c r="G85" s="36"/>
      <c r="H85" s="35"/>
      <c r="I85" s="35">
        <f t="shared" si="2"/>
        <v>100</v>
      </c>
    </row>
    <row r="86" spans="2:9" x14ac:dyDescent="0.25">
      <c r="B86" s="29" t="s">
        <v>42</v>
      </c>
      <c r="C86" s="30"/>
      <c r="D86" s="30"/>
      <c r="E86" s="30"/>
      <c r="F86" s="30"/>
      <c r="G86" s="30"/>
      <c r="H86" s="30"/>
      <c r="I86" s="35"/>
    </row>
    <row r="87" spans="2:9" ht="27.95" customHeight="1" x14ac:dyDescent="0.25">
      <c r="B87" s="31" t="s">
        <v>43</v>
      </c>
      <c r="C87" s="32"/>
      <c r="D87" s="33">
        <v>6</v>
      </c>
      <c r="E87" s="34" t="s">
        <v>67</v>
      </c>
      <c r="F87" s="35">
        <f>IFERROR(IF(ISNUMBER(INDEX('Signage Schedule'!$D:$D,MATCH(B87,'Signage Schedule'!$A:$A,0))),INDEX('Signage Schedule'!$D:$D,MATCH(B87,'Signage Schedule'!$A:$A,0)),0),0)</f>
        <v>50</v>
      </c>
      <c r="G87" s="36"/>
      <c r="H87" s="35"/>
      <c r="I87" s="35">
        <f t="shared" si="2"/>
        <v>300</v>
      </c>
    </row>
    <row r="88" spans="2:9" ht="27.95" customHeight="1" x14ac:dyDescent="0.25">
      <c r="B88" s="31" t="s">
        <v>44</v>
      </c>
      <c r="C88" s="32"/>
      <c r="D88" s="33">
        <v>4</v>
      </c>
      <c r="E88" s="34" t="s">
        <v>67</v>
      </c>
      <c r="F88" s="35">
        <f>IFERROR(IF(ISNUMBER(INDEX('Signage Schedule'!$D:$D,MATCH(B88,'Signage Schedule'!$A:$A,0))),INDEX('Signage Schedule'!$D:$D,MATCH(B88,'Signage Schedule'!$A:$A,0)),0),0)</f>
        <v>85</v>
      </c>
      <c r="G88" s="36"/>
      <c r="H88" s="35"/>
      <c r="I88" s="35">
        <f t="shared" si="2"/>
        <v>340</v>
      </c>
    </row>
    <row r="89" spans="2:9" ht="27.95" customHeight="1" x14ac:dyDescent="0.25">
      <c r="B89" s="31" t="s">
        <v>46</v>
      </c>
      <c r="C89" s="32"/>
      <c r="D89" s="33">
        <v>8</v>
      </c>
      <c r="E89" s="34" t="s">
        <v>67</v>
      </c>
      <c r="F89" s="35">
        <f>IFERROR(IF(ISNUMBER(INDEX('Signage Schedule'!$D:$D,MATCH(B89,'Signage Schedule'!$A:$A,0))),INDEX('Signage Schedule'!$D:$D,MATCH(B89,'Signage Schedule'!$A:$A,0)),0),0)</f>
        <v>50</v>
      </c>
      <c r="G89" s="36"/>
      <c r="H89" s="35"/>
      <c r="I89" s="35">
        <f t="shared" si="2"/>
        <v>400</v>
      </c>
    </row>
    <row r="90" spans="2:9" x14ac:dyDescent="0.25">
      <c r="B90" s="24" t="s">
        <v>74</v>
      </c>
      <c r="C90" s="37"/>
      <c r="D90" s="37"/>
      <c r="E90" s="37"/>
      <c r="F90" s="37"/>
      <c r="G90" s="37"/>
      <c r="H90" s="37"/>
      <c r="I90" s="37"/>
    </row>
    <row r="91" spans="2:9" x14ac:dyDescent="0.25">
      <c r="B91" s="29" t="s">
        <v>17</v>
      </c>
      <c r="C91" s="30"/>
      <c r="D91" s="30"/>
      <c r="E91" s="30"/>
      <c r="F91" s="30"/>
      <c r="G91" s="30"/>
      <c r="H91" s="30"/>
      <c r="I91" s="30"/>
    </row>
    <row r="92" spans="2:9" ht="27.95" customHeight="1" x14ac:dyDescent="0.25">
      <c r="B92" s="31" t="s">
        <v>38</v>
      </c>
      <c r="C92" s="32"/>
      <c r="D92" s="33">
        <v>12</v>
      </c>
      <c r="E92" s="34" t="s">
        <v>67</v>
      </c>
      <c r="F92" s="35">
        <f>IFERROR(IF(ISNUMBER(INDEX('Signage Schedule'!$D:$D,MATCH(B92,'Signage Schedule'!$A:$A,0))),INDEX('Signage Schedule'!$D:$D,MATCH(B92,'Signage Schedule'!$A:$A,0)),0),0)</f>
        <v>60</v>
      </c>
      <c r="G92" s="36"/>
      <c r="H92" s="35"/>
      <c r="I92" s="35">
        <f t="shared" si="2"/>
        <v>720</v>
      </c>
    </row>
    <row r="93" spans="2:9" ht="27.95" customHeight="1" x14ac:dyDescent="0.25">
      <c r="B93" s="31" t="s">
        <v>21</v>
      </c>
      <c r="C93" s="32"/>
      <c r="D93" s="33">
        <v>2</v>
      </c>
      <c r="E93" s="34" t="s">
        <v>67</v>
      </c>
      <c r="F93" s="35">
        <f>IFERROR(IF(ISNUMBER(INDEX('Signage Schedule'!$D:$D,MATCH(B93,'Signage Schedule'!$A:$A,0))),INDEX('Signage Schedule'!$D:$D,MATCH(B93,'Signage Schedule'!$A:$A,0)),0),0)</f>
        <v>45</v>
      </c>
      <c r="G93" s="36"/>
      <c r="H93" s="35"/>
      <c r="I93" s="35">
        <f t="shared" si="2"/>
        <v>90</v>
      </c>
    </row>
    <row r="94" spans="2:9" ht="27.95" customHeight="1" x14ac:dyDescent="0.25">
      <c r="B94" s="31" t="s">
        <v>18</v>
      </c>
      <c r="C94" s="32"/>
      <c r="D94" s="33">
        <v>2</v>
      </c>
      <c r="E94" s="34" t="s">
        <v>67</v>
      </c>
      <c r="F94" s="35">
        <f>IFERROR(IF(ISNUMBER(INDEX('Signage Schedule'!$D:$D,MATCH(B94,'Signage Schedule'!$A:$A,0))),INDEX('Signage Schedule'!$D:$D,MATCH(B94,'Signage Schedule'!$A:$A,0)),0),0)</f>
        <v>85</v>
      </c>
      <c r="G94" s="36"/>
      <c r="H94" s="35"/>
      <c r="I94" s="35">
        <f t="shared" si="2"/>
        <v>170</v>
      </c>
    </row>
    <row r="95" spans="2:9" ht="27.95" customHeight="1" x14ac:dyDescent="0.25">
      <c r="B95" s="31" t="s">
        <v>23</v>
      </c>
      <c r="C95" s="32"/>
      <c r="D95" s="33">
        <v>2</v>
      </c>
      <c r="E95" s="34" t="s">
        <v>67</v>
      </c>
      <c r="F95" s="35">
        <f>IFERROR(IF(ISNUMBER(INDEX('Signage Schedule'!$D:$D,MATCH(B95,'Signage Schedule'!$A:$A,0))),INDEX('Signage Schedule'!$D:$D,MATCH(B95,'Signage Schedule'!$A:$A,0)),0),0)</f>
        <v>50</v>
      </c>
      <c r="G95" s="36"/>
      <c r="H95" s="35"/>
      <c r="I95" s="35">
        <f t="shared" si="2"/>
        <v>100</v>
      </c>
    </row>
    <row r="96" spans="2:9" ht="27.95" customHeight="1" x14ac:dyDescent="0.25">
      <c r="B96" s="31" t="s">
        <v>29</v>
      </c>
      <c r="C96" s="32"/>
      <c r="D96" s="33">
        <v>2</v>
      </c>
      <c r="E96" s="34" t="s">
        <v>67</v>
      </c>
      <c r="F96" s="35">
        <f>IFERROR(IF(ISNUMBER(INDEX('Signage Schedule'!$D:$D,MATCH(B96,'Signage Schedule'!$A:$A,0))),INDEX('Signage Schedule'!$D:$D,MATCH(B96,'Signage Schedule'!$A:$A,0)),0),0)</f>
        <v>30</v>
      </c>
      <c r="G96" s="36"/>
      <c r="H96" s="35"/>
      <c r="I96" s="35">
        <f t="shared" si="2"/>
        <v>60</v>
      </c>
    </row>
    <row r="97" spans="2:9" ht="27.95" customHeight="1" x14ac:dyDescent="0.25">
      <c r="B97" s="31" t="s">
        <v>27</v>
      </c>
      <c r="C97" s="32"/>
      <c r="D97" s="33">
        <v>3</v>
      </c>
      <c r="E97" s="34" t="s">
        <v>67</v>
      </c>
      <c r="F97" s="35">
        <f>IFERROR(IF(ISNUMBER(INDEX('Signage Schedule'!$D:$D,MATCH(B97,'Signage Schedule'!$A:$A,0))),INDEX('Signage Schedule'!$D:$D,MATCH(B97,'Signage Schedule'!$A:$A,0)),0),0)</f>
        <v>50</v>
      </c>
      <c r="G97" s="36"/>
      <c r="H97" s="35"/>
      <c r="I97" s="35">
        <f t="shared" si="2"/>
        <v>150</v>
      </c>
    </row>
    <row r="98" spans="2:9" ht="27.95" customHeight="1" x14ac:dyDescent="0.25">
      <c r="B98" s="31" t="s">
        <v>25</v>
      </c>
      <c r="C98" s="32"/>
      <c r="D98" s="33">
        <v>2</v>
      </c>
      <c r="E98" s="34" t="s">
        <v>67</v>
      </c>
      <c r="F98" s="35">
        <f>IFERROR(IF(ISNUMBER(INDEX('Signage Schedule'!$D:$D,MATCH(B98,'Signage Schedule'!$A:$A,0))),INDEX('Signage Schedule'!$D:$D,MATCH(B98,'Signage Schedule'!$A:$A,0)),0),0)</f>
        <v>50</v>
      </c>
      <c r="G98" s="36"/>
      <c r="H98" s="35"/>
      <c r="I98" s="35">
        <f t="shared" si="2"/>
        <v>100</v>
      </c>
    </row>
    <row r="99" spans="2:9" x14ac:dyDescent="0.25">
      <c r="B99" s="29" t="s">
        <v>42</v>
      </c>
      <c r="C99" s="30"/>
      <c r="D99" s="30"/>
      <c r="E99" s="30"/>
      <c r="F99" s="30"/>
      <c r="G99" s="30"/>
      <c r="H99" s="30"/>
      <c r="I99" s="30"/>
    </row>
    <row r="100" spans="2:9" ht="27.95" customHeight="1" x14ac:dyDescent="0.25">
      <c r="B100" s="31" t="s">
        <v>43</v>
      </c>
      <c r="C100" s="32"/>
      <c r="D100" s="33">
        <v>6</v>
      </c>
      <c r="E100" s="34" t="s">
        <v>67</v>
      </c>
      <c r="F100" s="35">
        <f>IFERROR(IF(ISNUMBER(INDEX('Signage Schedule'!$D:$D,MATCH(B100,'Signage Schedule'!$A:$A,0))),INDEX('Signage Schedule'!$D:$D,MATCH(B100,'Signage Schedule'!$A:$A,0)),0),0)</f>
        <v>50</v>
      </c>
      <c r="G100" s="36"/>
      <c r="H100" s="35"/>
      <c r="I100" s="35">
        <f t="shared" si="2"/>
        <v>300</v>
      </c>
    </row>
    <row r="101" spans="2:9" ht="27.95" customHeight="1" x14ac:dyDescent="0.25">
      <c r="B101" s="31" t="s">
        <v>44</v>
      </c>
      <c r="C101" s="32"/>
      <c r="D101" s="33">
        <v>4</v>
      </c>
      <c r="E101" s="34" t="s">
        <v>67</v>
      </c>
      <c r="F101" s="35">
        <f>IFERROR(IF(ISNUMBER(INDEX('Signage Schedule'!$D:$D,MATCH(B101,'Signage Schedule'!$A:$A,0))),INDEX('Signage Schedule'!$D:$D,MATCH(B101,'Signage Schedule'!$A:$A,0)),0),0)</f>
        <v>85</v>
      </c>
      <c r="G101" s="36"/>
      <c r="H101" s="35"/>
      <c r="I101" s="35">
        <f t="shared" si="2"/>
        <v>340</v>
      </c>
    </row>
    <row r="102" spans="2:9" ht="27.95" customHeight="1" x14ac:dyDescent="0.25">
      <c r="B102" s="31" t="s">
        <v>46</v>
      </c>
      <c r="C102" s="32"/>
      <c r="D102" s="33">
        <v>8</v>
      </c>
      <c r="E102" s="34" t="s">
        <v>67</v>
      </c>
      <c r="F102" s="35">
        <f>IFERROR(IF(ISNUMBER(INDEX('Signage Schedule'!$D:$D,MATCH(B102,'Signage Schedule'!$A:$A,0))),INDEX('Signage Schedule'!$D:$D,MATCH(B102,'Signage Schedule'!$A:$A,0)),0),0)</f>
        <v>50</v>
      </c>
      <c r="G102" s="36"/>
      <c r="H102" s="35"/>
      <c r="I102" s="35">
        <f t="shared" si="2"/>
        <v>400</v>
      </c>
    </row>
    <row r="103" spans="2:9" x14ac:dyDescent="0.25">
      <c r="B103" s="24" t="s">
        <v>75</v>
      </c>
      <c r="C103" s="37"/>
      <c r="D103" s="37"/>
      <c r="E103" s="37"/>
      <c r="F103" s="37"/>
      <c r="G103" s="37"/>
      <c r="H103" s="37"/>
      <c r="I103" s="37"/>
    </row>
    <row r="104" spans="2:9" x14ac:dyDescent="0.25">
      <c r="B104" s="29" t="s">
        <v>17</v>
      </c>
      <c r="C104" s="30"/>
      <c r="D104" s="30"/>
      <c r="E104" s="30"/>
      <c r="F104" s="30"/>
      <c r="G104" s="30"/>
      <c r="H104" s="30"/>
      <c r="I104" s="30"/>
    </row>
    <row r="105" spans="2:9" ht="27.95" customHeight="1" x14ac:dyDescent="0.25">
      <c r="B105" s="31" t="s">
        <v>38</v>
      </c>
      <c r="C105" s="32"/>
      <c r="D105" s="33">
        <v>12</v>
      </c>
      <c r="E105" s="34" t="s">
        <v>67</v>
      </c>
      <c r="F105" s="35">
        <f>IFERROR(IF(ISNUMBER(INDEX('Signage Schedule'!$D:$D,MATCH(B105,'Signage Schedule'!$A:$A,0))),INDEX('Signage Schedule'!$D:$D,MATCH(B105,'Signage Schedule'!$A:$A,0)),0),0)</f>
        <v>60</v>
      </c>
      <c r="G105" s="36"/>
      <c r="H105" s="35"/>
      <c r="I105" s="35">
        <f t="shared" si="2"/>
        <v>720</v>
      </c>
    </row>
    <row r="106" spans="2:9" ht="27.95" customHeight="1" x14ac:dyDescent="0.25">
      <c r="B106" s="31" t="s">
        <v>21</v>
      </c>
      <c r="C106" s="32"/>
      <c r="D106" s="33">
        <v>2</v>
      </c>
      <c r="E106" s="34" t="s">
        <v>67</v>
      </c>
      <c r="F106" s="35">
        <f>IFERROR(IF(ISNUMBER(INDEX('Signage Schedule'!$D:$D,MATCH(B106,'Signage Schedule'!$A:$A,0))),INDEX('Signage Schedule'!$D:$D,MATCH(B106,'Signage Schedule'!$A:$A,0)),0),0)</f>
        <v>45</v>
      </c>
      <c r="G106" s="36"/>
      <c r="H106" s="35"/>
      <c r="I106" s="35">
        <f t="shared" si="2"/>
        <v>90</v>
      </c>
    </row>
    <row r="107" spans="2:9" ht="27.95" customHeight="1" x14ac:dyDescent="0.25">
      <c r="B107" s="31" t="s">
        <v>18</v>
      </c>
      <c r="C107" s="32"/>
      <c r="D107" s="33">
        <v>2</v>
      </c>
      <c r="E107" s="34" t="s">
        <v>67</v>
      </c>
      <c r="F107" s="35">
        <f>IFERROR(IF(ISNUMBER(INDEX('Signage Schedule'!$D:$D,MATCH(B107,'Signage Schedule'!$A:$A,0))),INDEX('Signage Schedule'!$D:$D,MATCH(B107,'Signage Schedule'!$A:$A,0)),0),0)</f>
        <v>85</v>
      </c>
      <c r="G107" s="36"/>
      <c r="H107" s="35"/>
      <c r="I107" s="35">
        <f t="shared" si="2"/>
        <v>170</v>
      </c>
    </row>
    <row r="108" spans="2:9" ht="27.95" customHeight="1" x14ac:dyDescent="0.25">
      <c r="B108" s="31" t="s">
        <v>23</v>
      </c>
      <c r="C108" s="32"/>
      <c r="D108" s="33">
        <v>2</v>
      </c>
      <c r="E108" s="34" t="s">
        <v>67</v>
      </c>
      <c r="F108" s="35">
        <f>IFERROR(IF(ISNUMBER(INDEX('Signage Schedule'!$D:$D,MATCH(B108,'Signage Schedule'!$A:$A,0))),INDEX('Signage Schedule'!$D:$D,MATCH(B108,'Signage Schedule'!$A:$A,0)),0),0)</f>
        <v>50</v>
      </c>
      <c r="G108" s="36"/>
      <c r="H108" s="35"/>
      <c r="I108" s="35">
        <f t="shared" si="2"/>
        <v>100</v>
      </c>
    </row>
    <row r="109" spans="2:9" ht="27.95" customHeight="1" x14ac:dyDescent="0.25">
      <c r="B109" s="31" t="s">
        <v>29</v>
      </c>
      <c r="C109" s="32"/>
      <c r="D109" s="33">
        <v>2</v>
      </c>
      <c r="E109" s="34" t="s">
        <v>67</v>
      </c>
      <c r="F109" s="35">
        <f>IFERROR(IF(ISNUMBER(INDEX('Signage Schedule'!$D:$D,MATCH(B109,'Signage Schedule'!$A:$A,0))),INDEX('Signage Schedule'!$D:$D,MATCH(B109,'Signage Schedule'!$A:$A,0)),0),0)</f>
        <v>30</v>
      </c>
      <c r="G109" s="36"/>
      <c r="H109" s="35"/>
      <c r="I109" s="35">
        <f t="shared" si="2"/>
        <v>60</v>
      </c>
    </row>
    <row r="110" spans="2:9" ht="27.95" customHeight="1" x14ac:dyDescent="0.25">
      <c r="B110" s="31" t="s">
        <v>27</v>
      </c>
      <c r="C110" s="32"/>
      <c r="D110" s="33">
        <v>3</v>
      </c>
      <c r="E110" s="34" t="s">
        <v>67</v>
      </c>
      <c r="F110" s="35">
        <f>IFERROR(IF(ISNUMBER(INDEX('Signage Schedule'!$D:$D,MATCH(B110,'Signage Schedule'!$A:$A,0))),INDEX('Signage Schedule'!$D:$D,MATCH(B110,'Signage Schedule'!$A:$A,0)),0),0)</f>
        <v>50</v>
      </c>
      <c r="G110" s="36"/>
      <c r="H110" s="35"/>
      <c r="I110" s="35">
        <f t="shared" si="2"/>
        <v>150</v>
      </c>
    </row>
    <row r="111" spans="2:9" ht="27.95" customHeight="1" x14ac:dyDescent="0.25">
      <c r="B111" s="31" t="s">
        <v>25</v>
      </c>
      <c r="C111" s="32"/>
      <c r="D111" s="33">
        <v>2</v>
      </c>
      <c r="E111" s="34" t="s">
        <v>67</v>
      </c>
      <c r="F111" s="35">
        <f>IFERROR(IF(ISNUMBER(INDEX('Signage Schedule'!$D:$D,MATCH(B111,'Signage Schedule'!$A:$A,0))),INDEX('Signage Schedule'!$D:$D,MATCH(B111,'Signage Schedule'!$A:$A,0)),0),0)</f>
        <v>50</v>
      </c>
      <c r="G111" s="36"/>
      <c r="H111" s="35"/>
      <c r="I111" s="35">
        <f t="shared" si="2"/>
        <v>100</v>
      </c>
    </row>
    <row r="112" spans="2:9" x14ac:dyDescent="0.25">
      <c r="B112" s="29" t="s">
        <v>42</v>
      </c>
      <c r="C112" s="30"/>
      <c r="D112" s="30"/>
      <c r="E112" s="30"/>
      <c r="F112" s="30"/>
      <c r="G112" s="30"/>
      <c r="H112" s="30"/>
      <c r="I112" s="30"/>
    </row>
    <row r="113" spans="2:9" ht="27.95" customHeight="1" x14ac:dyDescent="0.25">
      <c r="B113" s="31" t="s">
        <v>43</v>
      </c>
      <c r="C113" s="32"/>
      <c r="D113" s="33">
        <v>6</v>
      </c>
      <c r="E113" s="34" t="s">
        <v>67</v>
      </c>
      <c r="F113" s="35">
        <f>IFERROR(IF(ISNUMBER(INDEX('Signage Schedule'!$D:$D,MATCH(B113,'Signage Schedule'!$A:$A,0))),INDEX('Signage Schedule'!$D:$D,MATCH(B113,'Signage Schedule'!$A:$A,0)),0),0)</f>
        <v>50</v>
      </c>
      <c r="G113" s="36"/>
      <c r="H113" s="35"/>
      <c r="I113" s="35">
        <f t="shared" si="2"/>
        <v>300</v>
      </c>
    </row>
    <row r="114" spans="2:9" ht="27.95" customHeight="1" x14ac:dyDescent="0.25">
      <c r="B114" s="31" t="s">
        <v>44</v>
      </c>
      <c r="C114" s="32"/>
      <c r="D114" s="33">
        <v>4</v>
      </c>
      <c r="E114" s="34" t="s">
        <v>67</v>
      </c>
      <c r="F114" s="35">
        <f>IFERROR(IF(ISNUMBER(INDEX('Signage Schedule'!$D:$D,MATCH(B114,'Signage Schedule'!$A:$A,0))),INDEX('Signage Schedule'!$D:$D,MATCH(B114,'Signage Schedule'!$A:$A,0)),0),0)</f>
        <v>85</v>
      </c>
      <c r="G114" s="36"/>
      <c r="H114" s="35"/>
      <c r="I114" s="35">
        <f t="shared" si="2"/>
        <v>340</v>
      </c>
    </row>
    <row r="115" spans="2:9" ht="27.95" customHeight="1" x14ac:dyDescent="0.25">
      <c r="B115" s="31" t="s">
        <v>46</v>
      </c>
      <c r="C115" s="32"/>
      <c r="D115" s="33">
        <v>8</v>
      </c>
      <c r="E115" s="34" t="s">
        <v>67</v>
      </c>
      <c r="F115" s="35">
        <f>IFERROR(IF(ISNUMBER(INDEX('Signage Schedule'!$D:$D,MATCH(B115,'Signage Schedule'!$A:$A,0))),INDEX('Signage Schedule'!$D:$D,MATCH(B115,'Signage Schedule'!$A:$A,0)),0),0)</f>
        <v>50</v>
      </c>
      <c r="G115" s="36"/>
      <c r="H115" s="35"/>
      <c r="I115" s="35">
        <f t="shared" si="2"/>
        <v>400</v>
      </c>
    </row>
    <row r="116" spans="2:9" x14ac:dyDescent="0.25">
      <c r="B116" s="24" t="s">
        <v>76</v>
      </c>
      <c r="C116" s="37"/>
      <c r="D116" s="37"/>
      <c r="E116" s="37"/>
      <c r="F116" s="37"/>
      <c r="G116" s="37"/>
      <c r="H116" s="37"/>
      <c r="I116" s="37"/>
    </row>
    <row r="117" spans="2:9" x14ac:dyDescent="0.25">
      <c r="B117" s="29" t="s">
        <v>17</v>
      </c>
      <c r="C117" s="30"/>
      <c r="D117" s="30"/>
      <c r="E117" s="30"/>
      <c r="F117" s="30"/>
      <c r="G117" s="30"/>
      <c r="H117" s="30"/>
      <c r="I117" s="30"/>
    </row>
    <row r="118" spans="2:9" ht="27.95" customHeight="1" x14ac:dyDescent="0.25">
      <c r="B118" s="31" t="s">
        <v>38</v>
      </c>
      <c r="C118" s="32"/>
      <c r="D118" s="33">
        <v>12</v>
      </c>
      <c r="E118" s="34" t="s">
        <v>67</v>
      </c>
      <c r="F118" s="35">
        <f>IFERROR(IF(ISNUMBER(INDEX('Signage Schedule'!$D:$D,MATCH(B118,'Signage Schedule'!$A:$A,0))),INDEX('Signage Schedule'!$D:$D,MATCH(B118,'Signage Schedule'!$A:$A,0)),0),0)</f>
        <v>60</v>
      </c>
      <c r="G118" s="36"/>
      <c r="H118" s="35"/>
      <c r="I118" s="35">
        <f t="shared" si="2"/>
        <v>720</v>
      </c>
    </row>
    <row r="119" spans="2:9" ht="27.95" customHeight="1" x14ac:dyDescent="0.25">
      <c r="B119" s="31" t="s">
        <v>21</v>
      </c>
      <c r="C119" s="32"/>
      <c r="D119" s="33">
        <v>2</v>
      </c>
      <c r="E119" s="34" t="s">
        <v>67</v>
      </c>
      <c r="F119" s="35">
        <f>IFERROR(IF(ISNUMBER(INDEX('Signage Schedule'!$D:$D,MATCH(B119,'Signage Schedule'!$A:$A,0))),INDEX('Signage Schedule'!$D:$D,MATCH(B119,'Signage Schedule'!$A:$A,0)),0),0)</f>
        <v>45</v>
      </c>
      <c r="G119" s="36"/>
      <c r="H119" s="35"/>
      <c r="I119" s="35">
        <f t="shared" si="2"/>
        <v>90</v>
      </c>
    </row>
    <row r="120" spans="2:9" ht="27.95" customHeight="1" x14ac:dyDescent="0.25">
      <c r="B120" s="31" t="s">
        <v>18</v>
      </c>
      <c r="C120" s="32"/>
      <c r="D120" s="33">
        <v>2</v>
      </c>
      <c r="E120" s="34" t="s">
        <v>67</v>
      </c>
      <c r="F120" s="35">
        <f>IFERROR(IF(ISNUMBER(INDEX('Signage Schedule'!$D:$D,MATCH(B120,'Signage Schedule'!$A:$A,0))),INDEX('Signage Schedule'!$D:$D,MATCH(B120,'Signage Schedule'!$A:$A,0)),0),0)</f>
        <v>85</v>
      </c>
      <c r="G120" s="36"/>
      <c r="H120" s="35"/>
      <c r="I120" s="35">
        <f t="shared" si="2"/>
        <v>170</v>
      </c>
    </row>
    <row r="121" spans="2:9" ht="27.95" customHeight="1" x14ac:dyDescent="0.25">
      <c r="B121" s="31" t="s">
        <v>23</v>
      </c>
      <c r="C121" s="32"/>
      <c r="D121" s="33">
        <v>2</v>
      </c>
      <c r="E121" s="34" t="s">
        <v>67</v>
      </c>
      <c r="F121" s="35">
        <f>IFERROR(IF(ISNUMBER(INDEX('Signage Schedule'!$D:$D,MATCH(B121,'Signage Schedule'!$A:$A,0))),INDEX('Signage Schedule'!$D:$D,MATCH(B121,'Signage Schedule'!$A:$A,0)),0),0)</f>
        <v>50</v>
      </c>
      <c r="G121" s="36"/>
      <c r="H121" s="35"/>
      <c r="I121" s="35">
        <f t="shared" si="2"/>
        <v>100</v>
      </c>
    </row>
    <row r="122" spans="2:9" ht="27.95" customHeight="1" x14ac:dyDescent="0.25">
      <c r="B122" s="31" t="s">
        <v>29</v>
      </c>
      <c r="C122" s="32"/>
      <c r="D122" s="33">
        <v>2</v>
      </c>
      <c r="E122" s="34" t="s">
        <v>67</v>
      </c>
      <c r="F122" s="35">
        <f>IFERROR(IF(ISNUMBER(INDEX('Signage Schedule'!$D:$D,MATCH(B122,'Signage Schedule'!$A:$A,0))),INDEX('Signage Schedule'!$D:$D,MATCH(B122,'Signage Schedule'!$A:$A,0)),0),0)</f>
        <v>30</v>
      </c>
      <c r="G122" s="36"/>
      <c r="H122" s="35"/>
      <c r="I122" s="35">
        <f t="shared" si="2"/>
        <v>60</v>
      </c>
    </row>
    <row r="123" spans="2:9" ht="27.95" customHeight="1" x14ac:dyDescent="0.25">
      <c r="B123" s="31" t="s">
        <v>27</v>
      </c>
      <c r="C123" s="32"/>
      <c r="D123" s="33">
        <v>3</v>
      </c>
      <c r="E123" s="34" t="s">
        <v>67</v>
      </c>
      <c r="F123" s="35">
        <f>IFERROR(IF(ISNUMBER(INDEX('Signage Schedule'!$D:$D,MATCH(B123,'Signage Schedule'!$A:$A,0))),INDEX('Signage Schedule'!$D:$D,MATCH(B123,'Signage Schedule'!$A:$A,0)),0),0)</f>
        <v>50</v>
      </c>
      <c r="G123" s="36"/>
      <c r="H123" s="35"/>
      <c r="I123" s="35">
        <f t="shared" si="2"/>
        <v>150</v>
      </c>
    </row>
    <row r="124" spans="2:9" ht="27.95" customHeight="1" x14ac:dyDescent="0.25">
      <c r="B124" s="31" t="s">
        <v>25</v>
      </c>
      <c r="C124" s="32"/>
      <c r="D124" s="33">
        <v>2</v>
      </c>
      <c r="E124" s="34" t="s">
        <v>67</v>
      </c>
      <c r="F124" s="35">
        <f>IFERROR(IF(ISNUMBER(INDEX('Signage Schedule'!$D:$D,MATCH(B124,'Signage Schedule'!$A:$A,0))),INDEX('Signage Schedule'!$D:$D,MATCH(B124,'Signage Schedule'!$A:$A,0)),0),0)</f>
        <v>50</v>
      </c>
      <c r="G124" s="36"/>
      <c r="H124" s="35"/>
      <c r="I124" s="35">
        <f t="shared" si="2"/>
        <v>100</v>
      </c>
    </row>
    <row r="125" spans="2:9" x14ac:dyDescent="0.25">
      <c r="B125" s="29" t="s">
        <v>42</v>
      </c>
      <c r="C125" s="30"/>
      <c r="D125" s="30"/>
      <c r="E125" s="30"/>
      <c r="F125" s="30"/>
      <c r="G125" s="30"/>
      <c r="H125" s="30"/>
      <c r="I125" s="30"/>
    </row>
    <row r="126" spans="2:9" ht="27.95" customHeight="1" x14ac:dyDescent="0.25">
      <c r="B126" s="31" t="s">
        <v>43</v>
      </c>
      <c r="C126" s="32"/>
      <c r="D126" s="33">
        <v>6</v>
      </c>
      <c r="E126" s="34" t="s">
        <v>67</v>
      </c>
      <c r="F126" s="35">
        <f>IFERROR(IF(ISNUMBER(INDEX('Signage Schedule'!$D:$D,MATCH(B126,'Signage Schedule'!$A:$A,0))),INDEX('Signage Schedule'!$D:$D,MATCH(B126,'Signage Schedule'!$A:$A,0)),0),0)</f>
        <v>50</v>
      </c>
      <c r="G126" s="36"/>
      <c r="H126" s="35"/>
      <c r="I126" s="35">
        <f t="shared" si="2"/>
        <v>300</v>
      </c>
    </row>
    <row r="127" spans="2:9" ht="27.95" customHeight="1" x14ac:dyDescent="0.25">
      <c r="B127" s="31" t="s">
        <v>44</v>
      </c>
      <c r="C127" s="32"/>
      <c r="D127" s="33">
        <v>4</v>
      </c>
      <c r="E127" s="34" t="s">
        <v>67</v>
      </c>
      <c r="F127" s="35">
        <f>IFERROR(IF(ISNUMBER(INDEX('Signage Schedule'!$D:$D,MATCH(B127,'Signage Schedule'!$A:$A,0))),INDEX('Signage Schedule'!$D:$D,MATCH(B127,'Signage Schedule'!$A:$A,0)),0),0)</f>
        <v>85</v>
      </c>
      <c r="G127" s="36"/>
      <c r="H127" s="35"/>
      <c r="I127" s="35">
        <f t="shared" si="2"/>
        <v>340</v>
      </c>
    </row>
    <row r="128" spans="2:9" ht="27.95" customHeight="1" x14ac:dyDescent="0.25">
      <c r="B128" s="31" t="s">
        <v>46</v>
      </c>
      <c r="C128" s="32"/>
      <c r="D128" s="33">
        <v>8</v>
      </c>
      <c r="E128" s="34" t="s">
        <v>67</v>
      </c>
      <c r="F128" s="35">
        <f>IFERROR(IF(ISNUMBER(INDEX('Signage Schedule'!$D:$D,MATCH(B128,'Signage Schedule'!$A:$A,0))),INDEX('Signage Schedule'!$D:$D,MATCH(B128,'Signage Schedule'!$A:$A,0)),0),0)</f>
        <v>50</v>
      </c>
      <c r="G128" s="36"/>
      <c r="H128" s="35"/>
      <c r="I128" s="35">
        <f t="shared" si="2"/>
        <v>400</v>
      </c>
    </row>
    <row r="129" spans="2:9" x14ac:dyDescent="0.25">
      <c r="B129" s="24" t="s">
        <v>77</v>
      </c>
      <c r="C129" s="37"/>
      <c r="D129" s="37"/>
      <c r="E129" s="37"/>
      <c r="F129" s="37"/>
      <c r="G129" s="37"/>
      <c r="H129" s="37"/>
      <c r="I129" s="37"/>
    </row>
    <row r="130" spans="2:9" x14ac:dyDescent="0.25">
      <c r="B130" s="29" t="s">
        <v>17</v>
      </c>
      <c r="C130" s="30"/>
      <c r="D130" s="30"/>
      <c r="E130" s="30"/>
      <c r="F130" s="30"/>
      <c r="G130" s="30"/>
      <c r="H130" s="30"/>
      <c r="I130" s="30"/>
    </row>
    <row r="131" spans="2:9" ht="27.95" customHeight="1" x14ac:dyDescent="0.25">
      <c r="B131" s="31" t="s">
        <v>38</v>
      </c>
      <c r="C131" s="32"/>
      <c r="D131" s="33">
        <v>11</v>
      </c>
      <c r="E131" s="34" t="s">
        <v>67</v>
      </c>
      <c r="F131" s="35">
        <f>IFERROR(IF(ISNUMBER(INDEX('Signage Schedule'!$D:$D,MATCH(B131,'Signage Schedule'!$A:$A,0))),INDEX('Signage Schedule'!$D:$D,MATCH(B131,'Signage Schedule'!$A:$A,0)),0),0)</f>
        <v>60</v>
      </c>
      <c r="G131" s="36"/>
      <c r="H131" s="35"/>
      <c r="I131" s="35">
        <f t="shared" si="2"/>
        <v>660</v>
      </c>
    </row>
    <row r="132" spans="2:9" ht="27.95" customHeight="1" x14ac:dyDescent="0.25">
      <c r="B132" s="31" t="s">
        <v>21</v>
      </c>
      <c r="C132" s="32"/>
      <c r="D132" s="33">
        <v>2</v>
      </c>
      <c r="E132" s="34" t="s">
        <v>67</v>
      </c>
      <c r="F132" s="35">
        <f>IFERROR(IF(ISNUMBER(INDEX('Signage Schedule'!$D:$D,MATCH(B132,'Signage Schedule'!$A:$A,0))),INDEX('Signage Schedule'!$D:$D,MATCH(B132,'Signage Schedule'!$A:$A,0)),0),0)</f>
        <v>45</v>
      </c>
      <c r="G132" s="36"/>
      <c r="H132" s="35"/>
      <c r="I132" s="35">
        <f t="shared" si="2"/>
        <v>90</v>
      </c>
    </row>
    <row r="133" spans="2:9" ht="27.95" customHeight="1" x14ac:dyDescent="0.25">
      <c r="B133" s="31" t="s">
        <v>18</v>
      </c>
      <c r="C133" s="32"/>
      <c r="D133" s="33">
        <v>2</v>
      </c>
      <c r="E133" s="34" t="s">
        <v>67</v>
      </c>
      <c r="F133" s="35">
        <f>IFERROR(IF(ISNUMBER(INDEX('Signage Schedule'!$D:$D,MATCH(B133,'Signage Schedule'!$A:$A,0))),INDEX('Signage Schedule'!$D:$D,MATCH(B133,'Signage Schedule'!$A:$A,0)),0),0)</f>
        <v>85</v>
      </c>
      <c r="G133" s="36"/>
      <c r="H133" s="35"/>
      <c r="I133" s="35">
        <f t="shared" si="2"/>
        <v>170</v>
      </c>
    </row>
    <row r="134" spans="2:9" ht="27.95" customHeight="1" x14ac:dyDescent="0.25">
      <c r="B134" s="31" t="s">
        <v>23</v>
      </c>
      <c r="C134" s="32"/>
      <c r="D134" s="33">
        <v>2</v>
      </c>
      <c r="E134" s="34" t="s">
        <v>67</v>
      </c>
      <c r="F134" s="35">
        <f>IFERROR(IF(ISNUMBER(INDEX('Signage Schedule'!$D:$D,MATCH(B134,'Signage Schedule'!$A:$A,0))),INDEX('Signage Schedule'!$D:$D,MATCH(B134,'Signage Schedule'!$A:$A,0)),0),0)</f>
        <v>50</v>
      </c>
      <c r="G134" s="36"/>
      <c r="H134" s="35"/>
      <c r="I134" s="35">
        <f t="shared" si="2"/>
        <v>100</v>
      </c>
    </row>
    <row r="135" spans="2:9" ht="27.95" customHeight="1" x14ac:dyDescent="0.25">
      <c r="B135" s="31" t="s">
        <v>25</v>
      </c>
      <c r="C135" s="32"/>
      <c r="D135" s="33">
        <v>2</v>
      </c>
      <c r="E135" s="34" t="s">
        <v>67</v>
      </c>
      <c r="F135" s="35">
        <f>IFERROR(IF(ISNUMBER(INDEX('Signage Schedule'!$D:$D,MATCH(B135,'Signage Schedule'!$A:$A,0))),INDEX('Signage Schedule'!$D:$D,MATCH(B135,'Signage Schedule'!$A:$A,0)),0),0)</f>
        <v>50</v>
      </c>
      <c r="G135" s="36"/>
      <c r="H135" s="35"/>
      <c r="I135" s="35">
        <f t="shared" si="2"/>
        <v>100</v>
      </c>
    </row>
    <row r="136" spans="2:9" ht="27.95" customHeight="1" x14ac:dyDescent="0.25">
      <c r="B136" s="31" t="s">
        <v>27</v>
      </c>
      <c r="C136" s="32"/>
      <c r="D136" s="33">
        <v>2</v>
      </c>
      <c r="E136" s="34" t="s">
        <v>67</v>
      </c>
      <c r="F136" s="35">
        <f>IFERROR(IF(ISNUMBER(INDEX('Signage Schedule'!$D:$D,MATCH(B136,'Signage Schedule'!$A:$A,0))),INDEX('Signage Schedule'!$D:$D,MATCH(B136,'Signage Schedule'!$A:$A,0)),0),0)</f>
        <v>50</v>
      </c>
      <c r="G136" s="36"/>
      <c r="H136" s="35"/>
      <c r="I136" s="35">
        <f t="shared" ref="I136:I198" si="3">D136*F136</f>
        <v>100</v>
      </c>
    </row>
    <row r="137" spans="2:9" ht="27.95" customHeight="1" x14ac:dyDescent="0.25">
      <c r="B137" s="31" t="s">
        <v>29</v>
      </c>
      <c r="C137" s="32"/>
      <c r="D137" s="33">
        <v>2</v>
      </c>
      <c r="E137" s="34" t="s">
        <v>67</v>
      </c>
      <c r="F137" s="35">
        <f>IFERROR(IF(ISNUMBER(INDEX('Signage Schedule'!$D:$D,MATCH(B137,'Signage Schedule'!$A:$A,0))),INDEX('Signage Schedule'!$D:$D,MATCH(B137,'Signage Schedule'!$A:$A,0)),0),0)</f>
        <v>30</v>
      </c>
      <c r="G137" s="36"/>
      <c r="H137" s="35"/>
      <c r="I137" s="35">
        <f t="shared" si="3"/>
        <v>60</v>
      </c>
    </row>
    <row r="138" spans="2:9" x14ac:dyDescent="0.25">
      <c r="B138" s="29" t="s">
        <v>42</v>
      </c>
      <c r="C138" s="30"/>
      <c r="D138" s="30"/>
      <c r="E138" s="30"/>
      <c r="F138" s="30"/>
      <c r="G138" s="30"/>
      <c r="H138" s="30"/>
      <c r="I138" s="30"/>
    </row>
    <row r="139" spans="2:9" ht="27.95" customHeight="1" x14ac:dyDescent="0.25">
      <c r="B139" s="31" t="s">
        <v>43</v>
      </c>
      <c r="C139" s="32"/>
      <c r="D139" s="33">
        <v>6</v>
      </c>
      <c r="E139" s="34" t="s">
        <v>67</v>
      </c>
      <c r="F139" s="35">
        <f>IFERROR(IF(ISNUMBER(INDEX('Signage Schedule'!$D:$D,MATCH(B139,'Signage Schedule'!$A:$A,0))),INDEX('Signage Schedule'!$D:$D,MATCH(B139,'Signage Schedule'!$A:$A,0)),0),0)</f>
        <v>50</v>
      </c>
      <c r="G139" s="36"/>
      <c r="H139" s="35"/>
      <c r="I139" s="35">
        <f t="shared" si="3"/>
        <v>300</v>
      </c>
    </row>
    <row r="140" spans="2:9" ht="27.95" customHeight="1" x14ac:dyDescent="0.25">
      <c r="B140" s="31" t="s">
        <v>46</v>
      </c>
      <c r="C140" s="32"/>
      <c r="D140" s="33">
        <v>8</v>
      </c>
      <c r="E140" s="34" t="s">
        <v>67</v>
      </c>
      <c r="F140" s="35">
        <f>IFERROR(IF(ISNUMBER(INDEX('Signage Schedule'!$D:$D,MATCH(B140,'Signage Schedule'!$A:$A,0))),INDEX('Signage Schedule'!$D:$D,MATCH(B140,'Signage Schedule'!$A:$A,0)),0),0)</f>
        <v>50</v>
      </c>
      <c r="G140" s="36"/>
      <c r="H140" s="35"/>
      <c r="I140" s="35">
        <f t="shared" si="3"/>
        <v>400</v>
      </c>
    </row>
    <row r="141" spans="2:9" ht="27.95" customHeight="1" x14ac:dyDescent="0.25">
      <c r="B141" s="31" t="s">
        <v>44</v>
      </c>
      <c r="C141" s="32"/>
      <c r="D141" s="33">
        <v>4</v>
      </c>
      <c r="E141" s="34" t="s">
        <v>67</v>
      </c>
      <c r="F141" s="35">
        <f>IFERROR(IF(ISNUMBER(INDEX('Signage Schedule'!$D:$D,MATCH(B141,'Signage Schedule'!$A:$A,0))),INDEX('Signage Schedule'!$D:$D,MATCH(B141,'Signage Schedule'!$A:$A,0)),0),0)</f>
        <v>85</v>
      </c>
      <c r="G141" s="36"/>
      <c r="H141" s="35"/>
      <c r="I141" s="35">
        <f t="shared" si="3"/>
        <v>340</v>
      </c>
    </row>
    <row r="142" spans="2:9" x14ac:dyDescent="0.25">
      <c r="B142" s="24" t="s">
        <v>78</v>
      </c>
      <c r="C142" s="37"/>
      <c r="D142" s="37"/>
      <c r="E142" s="37"/>
      <c r="F142" s="37"/>
      <c r="G142" s="37"/>
      <c r="H142" s="37"/>
      <c r="I142" s="37"/>
    </row>
    <row r="143" spans="2:9" x14ac:dyDescent="0.25">
      <c r="B143" s="29" t="s">
        <v>17</v>
      </c>
      <c r="C143" s="30"/>
      <c r="D143" s="30"/>
      <c r="E143" s="30"/>
      <c r="F143" s="30"/>
      <c r="G143" s="30"/>
      <c r="H143" s="30"/>
      <c r="I143" s="30"/>
    </row>
    <row r="144" spans="2:9" ht="27.95" customHeight="1" x14ac:dyDescent="0.25">
      <c r="B144" s="31" t="s">
        <v>29</v>
      </c>
      <c r="C144" s="32"/>
      <c r="D144" s="33">
        <v>2</v>
      </c>
      <c r="E144" s="34" t="s">
        <v>67</v>
      </c>
      <c r="F144" s="35">
        <f>IFERROR(IF(ISNUMBER(INDEX('Signage Schedule'!$D:$D,MATCH(B144,'Signage Schedule'!$A:$A,0))),INDEX('Signage Schedule'!$D:$D,MATCH(B144,'Signage Schedule'!$A:$A,0)),0),0)</f>
        <v>30</v>
      </c>
      <c r="G144" s="36"/>
      <c r="H144" s="35"/>
      <c r="I144" s="35">
        <f t="shared" si="3"/>
        <v>60</v>
      </c>
    </row>
    <row r="145" spans="2:9" ht="27.95" customHeight="1" x14ac:dyDescent="0.25">
      <c r="B145" s="31" t="s">
        <v>27</v>
      </c>
      <c r="C145" s="32"/>
      <c r="D145" s="33">
        <v>2</v>
      </c>
      <c r="E145" s="34" t="s">
        <v>67</v>
      </c>
      <c r="F145" s="35">
        <f>IFERROR(IF(ISNUMBER(INDEX('Signage Schedule'!$D:$D,MATCH(B145,'Signage Schedule'!$A:$A,0))),INDEX('Signage Schedule'!$D:$D,MATCH(B145,'Signage Schedule'!$A:$A,0)),0),0)</f>
        <v>50</v>
      </c>
      <c r="G145" s="36"/>
      <c r="H145" s="35"/>
      <c r="I145" s="35">
        <f t="shared" si="3"/>
        <v>100</v>
      </c>
    </row>
    <row r="146" spans="2:9" ht="27.95" customHeight="1" x14ac:dyDescent="0.25">
      <c r="B146" s="31" t="s">
        <v>25</v>
      </c>
      <c r="C146" s="32"/>
      <c r="D146" s="33">
        <v>2</v>
      </c>
      <c r="E146" s="34" t="s">
        <v>67</v>
      </c>
      <c r="F146" s="35">
        <f>IFERROR(IF(ISNUMBER(INDEX('Signage Schedule'!$D:$D,MATCH(B146,'Signage Schedule'!$A:$A,0))),INDEX('Signage Schedule'!$D:$D,MATCH(B146,'Signage Schedule'!$A:$A,0)),0),0)</f>
        <v>50</v>
      </c>
      <c r="G146" s="36"/>
      <c r="H146" s="35"/>
      <c r="I146" s="35">
        <f t="shared" si="3"/>
        <v>100</v>
      </c>
    </row>
    <row r="147" spans="2:9" ht="27.95" customHeight="1" x14ac:dyDescent="0.25">
      <c r="B147" s="31" t="s">
        <v>21</v>
      </c>
      <c r="C147" s="32"/>
      <c r="D147" s="33">
        <v>2</v>
      </c>
      <c r="E147" s="34" t="s">
        <v>67</v>
      </c>
      <c r="F147" s="35">
        <f>IFERROR(IF(ISNUMBER(INDEX('Signage Schedule'!$D:$D,MATCH(B147,'Signage Schedule'!$A:$A,0))),INDEX('Signage Schedule'!$D:$D,MATCH(B147,'Signage Schedule'!$A:$A,0)),0),0)</f>
        <v>45</v>
      </c>
      <c r="G147" s="36"/>
      <c r="H147" s="35"/>
      <c r="I147" s="35">
        <f t="shared" si="3"/>
        <v>90</v>
      </c>
    </row>
    <row r="148" spans="2:9" ht="27.95" customHeight="1" x14ac:dyDescent="0.25">
      <c r="B148" s="31" t="s">
        <v>18</v>
      </c>
      <c r="C148" s="32"/>
      <c r="D148" s="33">
        <v>2</v>
      </c>
      <c r="E148" s="34" t="s">
        <v>67</v>
      </c>
      <c r="F148" s="35">
        <f>IFERROR(IF(ISNUMBER(INDEX('Signage Schedule'!$D:$D,MATCH(B148,'Signage Schedule'!$A:$A,0))),INDEX('Signage Schedule'!$D:$D,MATCH(B148,'Signage Schedule'!$A:$A,0)),0),0)</f>
        <v>85</v>
      </c>
      <c r="G148" s="36"/>
      <c r="H148" s="35"/>
      <c r="I148" s="35">
        <f t="shared" si="3"/>
        <v>170</v>
      </c>
    </row>
    <row r="149" spans="2:9" ht="27.95" customHeight="1" x14ac:dyDescent="0.25">
      <c r="B149" s="31" t="s">
        <v>23</v>
      </c>
      <c r="C149" s="32"/>
      <c r="D149" s="33">
        <v>2</v>
      </c>
      <c r="E149" s="34" t="s">
        <v>67</v>
      </c>
      <c r="F149" s="35">
        <f>IFERROR(IF(ISNUMBER(INDEX('Signage Schedule'!$D:$D,MATCH(B149,'Signage Schedule'!$A:$A,0))),INDEX('Signage Schedule'!$D:$D,MATCH(B149,'Signage Schedule'!$A:$A,0)),0),0)</f>
        <v>50</v>
      </c>
      <c r="G149" s="36"/>
      <c r="H149" s="35"/>
      <c r="I149" s="35">
        <f t="shared" si="3"/>
        <v>100</v>
      </c>
    </row>
    <row r="150" spans="2:9" ht="27.95" customHeight="1" x14ac:dyDescent="0.25">
      <c r="B150" s="31" t="s">
        <v>38</v>
      </c>
      <c r="C150" s="32"/>
      <c r="D150" s="33">
        <v>6</v>
      </c>
      <c r="E150" s="34" t="s">
        <v>67</v>
      </c>
      <c r="F150" s="35">
        <f>IFERROR(IF(ISNUMBER(INDEX('Signage Schedule'!$D:$D,MATCH(B150,'Signage Schedule'!$A:$A,0))),INDEX('Signage Schedule'!$D:$D,MATCH(B150,'Signage Schedule'!$A:$A,0)),0),0)</f>
        <v>60</v>
      </c>
      <c r="G150" s="36"/>
      <c r="H150" s="35"/>
      <c r="I150" s="35">
        <f t="shared" si="3"/>
        <v>360</v>
      </c>
    </row>
    <row r="151" spans="2:9" x14ac:dyDescent="0.25">
      <c r="B151" s="29" t="s">
        <v>42</v>
      </c>
      <c r="C151" s="30"/>
      <c r="D151" s="30"/>
      <c r="E151" s="30"/>
      <c r="F151" s="30"/>
      <c r="G151" s="30"/>
      <c r="H151" s="30"/>
      <c r="I151" s="30"/>
    </row>
    <row r="152" spans="2:9" ht="27.95" customHeight="1" x14ac:dyDescent="0.25">
      <c r="B152" s="31" t="s">
        <v>43</v>
      </c>
      <c r="C152" s="32"/>
      <c r="D152" s="33">
        <v>7</v>
      </c>
      <c r="E152" s="34" t="s">
        <v>67</v>
      </c>
      <c r="F152" s="35">
        <f>IFERROR(IF(ISNUMBER(INDEX('Signage Schedule'!$D:$D,MATCH(B152,'Signage Schedule'!$A:$A,0))),INDEX('Signage Schedule'!$D:$D,MATCH(B152,'Signage Schedule'!$A:$A,0)),0),0)</f>
        <v>50</v>
      </c>
      <c r="G152" s="36"/>
      <c r="H152" s="35"/>
      <c r="I152" s="35">
        <f t="shared" si="3"/>
        <v>350</v>
      </c>
    </row>
    <row r="153" spans="2:9" ht="27.95" customHeight="1" x14ac:dyDescent="0.25">
      <c r="B153" s="31" t="s">
        <v>46</v>
      </c>
      <c r="C153" s="32"/>
      <c r="D153" s="33">
        <v>8</v>
      </c>
      <c r="E153" s="34" t="s">
        <v>67</v>
      </c>
      <c r="F153" s="35">
        <f>IFERROR(IF(ISNUMBER(INDEX('Signage Schedule'!$D:$D,MATCH(B153,'Signage Schedule'!$A:$A,0))),INDEX('Signage Schedule'!$D:$D,MATCH(B153,'Signage Schedule'!$A:$A,0)),0),0)</f>
        <v>50</v>
      </c>
      <c r="G153" s="36"/>
      <c r="H153" s="35"/>
      <c r="I153" s="35">
        <f t="shared" si="3"/>
        <v>400</v>
      </c>
    </row>
    <row r="154" spans="2:9" ht="27.95" customHeight="1" x14ac:dyDescent="0.25">
      <c r="B154" s="31" t="s">
        <v>44</v>
      </c>
      <c r="C154" s="32"/>
      <c r="D154" s="33">
        <v>4</v>
      </c>
      <c r="E154" s="34" t="s">
        <v>67</v>
      </c>
      <c r="F154" s="35">
        <f>IFERROR(IF(ISNUMBER(INDEX('Signage Schedule'!$D:$D,MATCH(B154,'Signage Schedule'!$A:$A,0))),INDEX('Signage Schedule'!$D:$D,MATCH(B154,'Signage Schedule'!$A:$A,0)),0),0)</f>
        <v>85</v>
      </c>
      <c r="G154" s="36"/>
      <c r="H154" s="35"/>
      <c r="I154" s="35">
        <f t="shared" si="3"/>
        <v>340</v>
      </c>
    </row>
    <row r="155" spans="2:9" x14ac:dyDescent="0.25">
      <c r="B155" s="24" t="s">
        <v>79</v>
      </c>
      <c r="C155" s="37"/>
      <c r="D155" s="37"/>
      <c r="E155" s="37"/>
      <c r="F155" s="37"/>
      <c r="G155" s="37"/>
      <c r="H155" s="37"/>
      <c r="I155" s="37"/>
    </row>
    <row r="156" spans="2:9" x14ac:dyDescent="0.25">
      <c r="B156" s="29" t="s">
        <v>17</v>
      </c>
      <c r="C156" s="30"/>
      <c r="D156" s="30"/>
      <c r="E156" s="30"/>
      <c r="F156" s="30"/>
      <c r="G156" s="30"/>
      <c r="H156" s="30"/>
      <c r="I156" s="30"/>
    </row>
    <row r="157" spans="2:9" ht="27.95" customHeight="1" x14ac:dyDescent="0.25">
      <c r="B157" s="31" t="s">
        <v>21</v>
      </c>
      <c r="C157" s="32"/>
      <c r="D157" s="33">
        <v>1</v>
      </c>
      <c r="E157" s="34" t="s">
        <v>67</v>
      </c>
      <c r="F157" s="35">
        <f>IFERROR(IF(ISNUMBER(INDEX('Signage Schedule'!$D:$D,MATCH(B157,'Signage Schedule'!$A:$A,0))),INDEX('Signage Schedule'!$D:$D,MATCH(B157,'Signage Schedule'!$A:$A,0)),0),0)</f>
        <v>45</v>
      </c>
      <c r="G157" s="36"/>
      <c r="H157" s="35"/>
      <c r="I157" s="35">
        <f t="shared" si="3"/>
        <v>45</v>
      </c>
    </row>
    <row r="158" spans="2:9" ht="27.95" customHeight="1" x14ac:dyDescent="0.25">
      <c r="B158" s="31" t="s">
        <v>18</v>
      </c>
      <c r="C158" s="32"/>
      <c r="D158" s="33">
        <v>1</v>
      </c>
      <c r="E158" s="34" t="s">
        <v>67</v>
      </c>
      <c r="F158" s="35">
        <f>IFERROR(IF(ISNUMBER(INDEX('Signage Schedule'!$D:$D,MATCH(B158,'Signage Schedule'!$A:$A,0))),INDEX('Signage Schedule'!$D:$D,MATCH(B158,'Signage Schedule'!$A:$A,0)),0),0)</f>
        <v>85</v>
      </c>
      <c r="G158" s="36"/>
      <c r="H158" s="35"/>
      <c r="I158" s="35">
        <f t="shared" si="3"/>
        <v>85</v>
      </c>
    </row>
    <row r="159" spans="2:9" ht="27.95" customHeight="1" x14ac:dyDescent="0.25">
      <c r="B159" s="31" t="s">
        <v>23</v>
      </c>
      <c r="C159" s="32"/>
      <c r="D159" s="33">
        <v>1</v>
      </c>
      <c r="E159" s="34" t="s">
        <v>67</v>
      </c>
      <c r="F159" s="35">
        <f>IFERROR(IF(ISNUMBER(INDEX('Signage Schedule'!$D:$D,MATCH(B159,'Signage Schedule'!$A:$A,0))),INDEX('Signage Schedule'!$D:$D,MATCH(B159,'Signage Schedule'!$A:$A,0)),0),0)</f>
        <v>50</v>
      </c>
      <c r="G159" s="36"/>
      <c r="H159" s="35"/>
      <c r="I159" s="35">
        <f t="shared" si="3"/>
        <v>50</v>
      </c>
    </row>
    <row r="160" spans="2:9" ht="27.95" customHeight="1" x14ac:dyDescent="0.25">
      <c r="B160" s="31" t="s">
        <v>29</v>
      </c>
      <c r="C160" s="32"/>
      <c r="D160" s="33">
        <v>1</v>
      </c>
      <c r="E160" s="34" t="s">
        <v>67</v>
      </c>
      <c r="F160" s="35">
        <f>IFERROR(IF(ISNUMBER(INDEX('Signage Schedule'!$D:$D,MATCH(B160,'Signage Schedule'!$A:$A,0))),INDEX('Signage Schedule'!$D:$D,MATCH(B160,'Signage Schedule'!$A:$A,0)),0),0)</f>
        <v>30</v>
      </c>
      <c r="G160" s="36"/>
      <c r="H160" s="35"/>
      <c r="I160" s="35">
        <f t="shared" si="3"/>
        <v>30</v>
      </c>
    </row>
    <row r="161" spans="2:9" ht="27.95" customHeight="1" x14ac:dyDescent="0.25">
      <c r="B161" s="31" t="s">
        <v>25</v>
      </c>
      <c r="C161" s="32"/>
      <c r="D161" s="33">
        <v>1</v>
      </c>
      <c r="E161" s="34" t="s">
        <v>67</v>
      </c>
      <c r="F161" s="35">
        <f>IFERROR(IF(ISNUMBER(INDEX('Signage Schedule'!$D:$D,MATCH(B161,'Signage Schedule'!$A:$A,0))),INDEX('Signage Schedule'!$D:$D,MATCH(B161,'Signage Schedule'!$A:$A,0)),0),0)</f>
        <v>50</v>
      </c>
      <c r="G161" s="36"/>
      <c r="H161" s="35"/>
      <c r="I161" s="35">
        <f t="shared" si="3"/>
        <v>50</v>
      </c>
    </row>
    <row r="162" spans="2:9" x14ac:dyDescent="0.25">
      <c r="B162" s="29" t="s">
        <v>42</v>
      </c>
      <c r="C162" s="30"/>
      <c r="D162" s="30"/>
      <c r="E162" s="30"/>
      <c r="F162" s="30"/>
      <c r="G162" s="30"/>
      <c r="H162" s="30"/>
      <c r="I162" s="30"/>
    </row>
    <row r="163" spans="2:9" ht="27.95" customHeight="1" x14ac:dyDescent="0.25">
      <c r="B163" s="31" t="s">
        <v>43</v>
      </c>
      <c r="C163" s="32"/>
      <c r="D163" s="33">
        <v>4</v>
      </c>
      <c r="E163" s="34" t="s">
        <v>67</v>
      </c>
      <c r="F163" s="35">
        <f>IFERROR(IF(ISNUMBER(INDEX('Signage Schedule'!$D:$D,MATCH(B163,'Signage Schedule'!$A:$A,0))),INDEX('Signage Schedule'!$D:$D,MATCH(B163,'Signage Schedule'!$A:$A,0)),0),0)</f>
        <v>50</v>
      </c>
      <c r="G163" s="36"/>
      <c r="H163" s="35"/>
      <c r="I163" s="35">
        <f t="shared" si="3"/>
        <v>200</v>
      </c>
    </row>
    <row r="164" spans="2:9" ht="27.95" customHeight="1" x14ac:dyDescent="0.25">
      <c r="B164" s="31" t="s">
        <v>44</v>
      </c>
      <c r="C164" s="32"/>
      <c r="D164" s="33">
        <v>2</v>
      </c>
      <c r="E164" s="34" t="s">
        <v>67</v>
      </c>
      <c r="F164" s="35">
        <f>IFERROR(IF(ISNUMBER(INDEX('Signage Schedule'!$D:$D,MATCH(B164,'Signage Schedule'!$A:$A,0))),INDEX('Signage Schedule'!$D:$D,MATCH(B164,'Signage Schedule'!$A:$A,0)),0),0)</f>
        <v>85</v>
      </c>
      <c r="G164" s="36"/>
      <c r="H164" s="35"/>
      <c r="I164" s="35">
        <f t="shared" si="3"/>
        <v>170</v>
      </c>
    </row>
    <row r="165" spans="2:9" ht="27.95" customHeight="1" x14ac:dyDescent="0.25">
      <c r="B165" s="31" t="s">
        <v>46</v>
      </c>
      <c r="C165" s="32"/>
      <c r="D165" s="33">
        <v>4</v>
      </c>
      <c r="E165" s="34" t="s">
        <v>67</v>
      </c>
      <c r="F165" s="35">
        <f>IFERROR(IF(ISNUMBER(INDEX('Signage Schedule'!$D:$D,MATCH(B165,'Signage Schedule'!$A:$A,0))),INDEX('Signage Schedule'!$D:$D,MATCH(B165,'Signage Schedule'!$A:$A,0)),0),0)</f>
        <v>50</v>
      </c>
      <c r="G165" s="36"/>
      <c r="H165" s="35"/>
      <c r="I165" s="35">
        <f t="shared" si="3"/>
        <v>200</v>
      </c>
    </row>
    <row r="166" spans="2:9" x14ac:dyDescent="0.25">
      <c r="B166" s="24" t="s">
        <v>68</v>
      </c>
      <c r="C166" s="37"/>
      <c r="D166" s="37"/>
      <c r="E166" s="37"/>
      <c r="F166" s="37"/>
      <c r="G166" s="37"/>
      <c r="H166" s="37"/>
      <c r="I166" s="37"/>
    </row>
    <row r="167" spans="2:9" x14ac:dyDescent="0.25">
      <c r="B167" s="29" t="s">
        <v>17</v>
      </c>
      <c r="C167" s="30"/>
      <c r="D167" s="30"/>
      <c r="E167" s="30"/>
      <c r="F167" s="30"/>
      <c r="G167" s="30"/>
      <c r="H167" s="30"/>
      <c r="I167" s="30"/>
    </row>
    <row r="168" spans="2:9" ht="27.95" customHeight="1" x14ac:dyDescent="0.25">
      <c r="B168" s="31" t="s">
        <v>39</v>
      </c>
      <c r="C168" s="32"/>
      <c r="D168" s="33">
        <v>5</v>
      </c>
      <c r="E168" s="34" t="s">
        <v>67</v>
      </c>
      <c r="F168" s="35">
        <f>IFERROR(IF(ISNUMBER(INDEX('Signage Schedule'!$D:$D,MATCH(B168,'Signage Schedule'!$A:$A,0))),INDEX('Signage Schedule'!$D:$D,MATCH(B168,'Signage Schedule'!$A:$A,0)),0),0)</f>
        <v>30</v>
      </c>
      <c r="G168" s="36"/>
      <c r="H168" s="35"/>
      <c r="I168" s="35">
        <f t="shared" si="3"/>
        <v>150</v>
      </c>
    </row>
    <row r="169" spans="2:9" x14ac:dyDescent="0.25">
      <c r="B169" s="24" t="s">
        <v>69</v>
      </c>
      <c r="C169" s="37"/>
      <c r="D169" s="37"/>
      <c r="E169" s="37"/>
      <c r="F169" s="37"/>
      <c r="G169" s="37"/>
      <c r="H169" s="37"/>
      <c r="I169" s="37"/>
    </row>
    <row r="170" spans="2:9" x14ac:dyDescent="0.25">
      <c r="B170" s="29" t="s">
        <v>17</v>
      </c>
      <c r="C170" s="30"/>
      <c r="D170" s="30"/>
      <c r="E170" s="30"/>
      <c r="F170" s="30"/>
      <c r="G170" s="30"/>
      <c r="H170" s="30"/>
      <c r="I170" s="30"/>
    </row>
    <row r="171" spans="2:9" ht="27.95" customHeight="1" x14ac:dyDescent="0.25">
      <c r="B171" s="31" t="s">
        <v>39</v>
      </c>
      <c r="C171" s="32"/>
      <c r="D171" s="33">
        <v>3</v>
      </c>
      <c r="E171" s="34" t="s">
        <v>67</v>
      </c>
      <c r="F171" s="35">
        <f>IFERROR(IF(ISNUMBER(INDEX('Signage Schedule'!$D:$D,MATCH(B171,'Signage Schedule'!$A:$A,0))),INDEX('Signage Schedule'!$D:$D,MATCH(B171,'Signage Schedule'!$A:$A,0)),0),0)</f>
        <v>30</v>
      </c>
      <c r="G171" s="36"/>
      <c r="H171" s="35"/>
      <c r="I171" s="35">
        <f t="shared" si="3"/>
        <v>90</v>
      </c>
    </row>
    <row r="172" spans="2:9" x14ac:dyDescent="0.25">
      <c r="B172" s="24" t="s">
        <v>70</v>
      </c>
      <c r="C172" s="37"/>
      <c r="D172" s="37"/>
      <c r="E172" s="37"/>
      <c r="F172" s="37"/>
      <c r="G172" s="37"/>
      <c r="H172" s="37"/>
      <c r="I172" s="37"/>
    </row>
    <row r="173" spans="2:9" x14ac:dyDescent="0.25">
      <c r="B173" s="29" t="s">
        <v>17</v>
      </c>
      <c r="C173" s="30"/>
      <c r="D173" s="30"/>
      <c r="E173" s="30"/>
      <c r="F173" s="30"/>
      <c r="G173" s="30"/>
      <c r="H173" s="30"/>
      <c r="I173" s="30"/>
    </row>
    <row r="174" spans="2:9" ht="27.95" customHeight="1" x14ac:dyDescent="0.25">
      <c r="B174" s="31" t="s">
        <v>39</v>
      </c>
      <c r="C174" s="32"/>
      <c r="D174" s="33">
        <v>2</v>
      </c>
      <c r="E174" s="34" t="s">
        <v>67</v>
      </c>
      <c r="F174" s="35">
        <f>IFERROR(IF(ISNUMBER(INDEX('Signage Schedule'!$D:$D,MATCH(B174,'Signage Schedule'!$A:$A,0))),INDEX('Signage Schedule'!$D:$D,MATCH(B174,'Signage Schedule'!$A:$A,0)),0),0)</f>
        <v>30</v>
      </c>
      <c r="G174" s="36"/>
      <c r="H174" s="35"/>
      <c r="I174" s="35">
        <f t="shared" si="3"/>
        <v>60</v>
      </c>
    </row>
    <row r="175" spans="2:9" x14ac:dyDescent="0.25">
      <c r="B175" s="24" t="s">
        <v>71</v>
      </c>
      <c r="C175" s="37"/>
      <c r="D175" s="37"/>
      <c r="E175" s="37"/>
      <c r="F175" s="37"/>
      <c r="G175" s="37"/>
      <c r="H175" s="37"/>
      <c r="I175" s="37"/>
    </row>
    <row r="176" spans="2:9" x14ac:dyDescent="0.25">
      <c r="B176" s="29" t="s">
        <v>17</v>
      </c>
      <c r="C176" s="30"/>
      <c r="D176" s="30"/>
      <c r="E176" s="30"/>
      <c r="F176" s="30"/>
      <c r="G176" s="30"/>
      <c r="H176" s="30"/>
      <c r="I176" s="30"/>
    </row>
    <row r="177" spans="2:9" ht="27.95" customHeight="1" x14ac:dyDescent="0.25">
      <c r="B177" s="31" t="s">
        <v>39</v>
      </c>
      <c r="C177" s="32"/>
      <c r="D177" s="33">
        <v>2</v>
      </c>
      <c r="E177" s="34" t="s">
        <v>67</v>
      </c>
      <c r="F177" s="35">
        <f>IFERROR(IF(ISNUMBER(INDEX('Signage Schedule'!$D:$D,MATCH(B177,'Signage Schedule'!$A:$A,0))),INDEX('Signage Schedule'!$D:$D,MATCH(B177,'Signage Schedule'!$A:$A,0)),0),0)</f>
        <v>30</v>
      </c>
      <c r="G177" s="36"/>
      <c r="H177" s="35"/>
      <c r="I177" s="35">
        <f t="shared" si="3"/>
        <v>60</v>
      </c>
    </row>
    <row r="178" spans="2:9" x14ac:dyDescent="0.25">
      <c r="B178" s="24" t="s">
        <v>72</v>
      </c>
      <c r="C178" s="37"/>
      <c r="D178" s="37"/>
      <c r="E178" s="37"/>
      <c r="F178" s="37"/>
      <c r="G178" s="37"/>
      <c r="H178" s="37"/>
      <c r="I178" s="37"/>
    </row>
    <row r="179" spans="2:9" x14ac:dyDescent="0.25">
      <c r="B179" s="29" t="s">
        <v>17</v>
      </c>
      <c r="C179" s="30"/>
      <c r="D179" s="30"/>
      <c r="E179" s="30"/>
      <c r="F179" s="30"/>
      <c r="G179" s="30"/>
      <c r="H179" s="30"/>
      <c r="I179" s="30"/>
    </row>
    <row r="180" spans="2:9" ht="27.95" customHeight="1" x14ac:dyDescent="0.25">
      <c r="B180" s="31" t="s">
        <v>39</v>
      </c>
      <c r="C180" s="32"/>
      <c r="D180" s="33">
        <v>2</v>
      </c>
      <c r="E180" s="34" t="s">
        <v>67</v>
      </c>
      <c r="F180" s="35">
        <f>IFERROR(IF(ISNUMBER(INDEX('Signage Schedule'!$D:$D,MATCH(B180,'Signage Schedule'!$A:$A,0))),INDEX('Signage Schedule'!$D:$D,MATCH(B180,'Signage Schedule'!$A:$A,0)),0),0)</f>
        <v>30</v>
      </c>
      <c r="G180" s="36"/>
      <c r="H180" s="35"/>
      <c r="I180" s="35">
        <f t="shared" si="3"/>
        <v>60</v>
      </c>
    </row>
    <row r="181" spans="2:9" x14ac:dyDescent="0.25">
      <c r="B181" s="24" t="s">
        <v>73</v>
      </c>
      <c r="C181" s="37"/>
      <c r="D181" s="37"/>
      <c r="E181" s="37"/>
      <c r="F181" s="37"/>
      <c r="G181" s="37"/>
      <c r="H181" s="37"/>
      <c r="I181" s="37"/>
    </row>
    <row r="182" spans="2:9" x14ac:dyDescent="0.25">
      <c r="B182" s="29" t="s">
        <v>17</v>
      </c>
      <c r="C182" s="30"/>
      <c r="D182" s="30"/>
      <c r="E182" s="30"/>
      <c r="F182" s="30"/>
      <c r="G182" s="30"/>
      <c r="H182" s="30"/>
      <c r="I182" s="30"/>
    </row>
    <row r="183" spans="2:9" ht="27.95" customHeight="1" x14ac:dyDescent="0.25">
      <c r="B183" s="31" t="s">
        <v>39</v>
      </c>
      <c r="C183" s="32"/>
      <c r="D183" s="33">
        <v>2</v>
      </c>
      <c r="E183" s="34" t="s">
        <v>67</v>
      </c>
      <c r="F183" s="35">
        <f>IFERROR(IF(ISNUMBER(INDEX('Signage Schedule'!$D:$D,MATCH(B183,'Signage Schedule'!$A:$A,0))),INDEX('Signage Schedule'!$D:$D,MATCH(B183,'Signage Schedule'!$A:$A,0)),0),0)</f>
        <v>30</v>
      </c>
      <c r="G183" s="36"/>
      <c r="H183" s="35"/>
      <c r="I183" s="35">
        <f t="shared" si="3"/>
        <v>60</v>
      </c>
    </row>
    <row r="184" spans="2:9" x14ac:dyDescent="0.25">
      <c r="B184" s="24" t="s">
        <v>74</v>
      </c>
      <c r="C184" s="37"/>
      <c r="D184" s="37"/>
      <c r="E184" s="37"/>
      <c r="F184" s="37"/>
      <c r="G184" s="37"/>
      <c r="H184" s="37"/>
      <c r="I184" s="37"/>
    </row>
    <row r="185" spans="2:9" x14ac:dyDescent="0.25">
      <c r="B185" s="29" t="s">
        <v>17</v>
      </c>
      <c r="C185" s="30"/>
      <c r="D185" s="30"/>
      <c r="E185" s="30"/>
      <c r="F185" s="30"/>
      <c r="G185" s="30"/>
      <c r="H185" s="30"/>
      <c r="I185" s="30"/>
    </row>
    <row r="186" spans="2:9" ht="27.95" customHeight="1" x14ac:dyDescent="0.25">
      <c r="B186" s="31" t="s">
        <v>39</v>
      </c>
      <c r="C186" s="32"/>
      <c r="D186" s="33">
        <v>2</v>
      </c>
      <c r="E186" s="34" t="s">
        <v>67</v>
      </c>
      <c r="F186" s="35">
        <f>IFERROR(IF(ISNUMBER(INDEX('Signage Schedule'!$D:$D,MATCH(B186,'Signage Schedule'!$A:$A,0))),INDEX('Signage Schedule'!$D:$D,MATCH(B186,'Signage Schedule'!$A:$A,0)),0),0)</f>
        <v>30</v>
      </c>
      <c r="G186" s="36"/>
      <c r="H186" s="35"/>
      <c r="I186" s="35">
        <f t="shared" si="3"/>
        <v>60</v>
      </c>
    </row>
    <row r="187" spans="2:9" x14ac:dyDescent="0.25">
      <c r="B187" s="24" t="s">
        <v>75</v>
      </c>
      <c r="C187" s="37"/>
      <c r="D187" s="37"/>
      <c r="E187" s="37"/>
      <c r="F187" s="37"/>
      <c r="G187" s="37"/>
      <c r="H187" s="37"/>
      <c r="I187" s="37"/>
    </row>
    <row r="188" spans="2:9" x14ac:dyDescent="0.25">
      <c r="B188" s="29" t="s">
        <v>17</v>
      </c>
      <c r="C188" s="30"/>
      <c r="D188" s="30"/>
      <c r="E188" s="30"/>
      <c r="F188" s="30"/>
      <c r="G188" s="30"/>
      <c r="H188" s="30"/>
      <c r="I188" s="30"/>
    </row>
    <row r="189" spans="2:9" ht="27.95" customHeight="1" x14ac:dyDescent="0.25">
      <c r="B189" s="31" t="s">
        <v>39</v>
      </c>
      <c r="C189" s="32"/>
      <c r="D189" s="33">
        <v>2</v>
      </c>
      <c r="E189" s="34" t="s">
        <v>67</v>
      </c>
      <c r="F189" s="35">
        <f>IFERROR(IF(ISNUMBER(INDEX('Signage Schedule'!$D:$D,MATCH(B189,'Signage Schedule'!$A:$A,0))),INDEX('Signage Schedule'!$D:$D,MATCH(B189,'Signage Schedule'!$A:$A,0)),0),0)</f>
        <v>30</v>
      </c>
      <c r="G189" s="36"/>
      <c r="H189" s="35"/>
      <c r="I189" s="35">
        <f t="shared" si="3"/>
        <v>60</v>
      </c>
    </row>
    <row r="190" spans="2:9" x14ac:dyDescent="0.25">
      <c r="B190" s="24" t="s">
        <v>76</v>
      </c>
      <c r="C190" s="37"/>
      <c r="D190" s="37"/>
      <c r="E190" s="37"/>
      <c r="F190" s="37"/>
      <c r="G190" s="37"/>
      <c r="H190" s="37"/>
      <c r="I190" s="37"/>
    </row>
    <row r="191" spans="2:9" x14ac:dyDescent="0.25">
      <c r="B191" s="29" t="s">
        <v>17</v>
      </c>
      <c r="C191" s="30"/>
      <c r="D191" s="30"/>
      <c r="E191" s="30"/>
      <c r="F191" s="30"/>
      <c r="G191" s="30"/>
      <c r="H191" s="30"/>
      <c r="I191" s="30"/>
    </row>
    <row r="192" spans="2:9" ht="27.95" customHeight="1" x14ac:dyDescent="0.25">
      <c r="B192" s="31" t="s">
        <v>39</v>
      </c>
      <c r="C192" s="32"/>
      <c r="D192" s="33">
        <v>2</v>
      </c>
      <c r="E192" s="34" t="s">
        <v>67</v>
      </c>
      <c r="F192" s="35">
        <f>IFERROR(IF(ISNUMBER(INDEX('Signage Schedule'!$D:$D,MATCH(B192,'Signage Schedule'!$A:$A,0))),INDEX('Signage Schedule'!$D:$D,MATCH(B192,'Signage Schedule'!$A:$A,0)),0),0)</f>
        <v>30</v>
      </c>
      <c r="G192" s="36"/>
      <c r="H192" s="35"/>
      <c r="I192" s="35">
        <f t="shared" si="3"/>
        <v>60</v>
      </c>
    </row>
    <row r="193" spans="2:9" x14ac:dyDescent="0.25">
      <c r="B193" s="24" t="s">
        <v>77</v>
      </c>
      <c r="C193" s="37"/>
      <c r="D193" s="37"/>
      <c r="E193" s="37"/>
      <c r="F193" s="37"/>
      <c r="G193" s="37"/>
      <c r="H193" s="37"/>
      <c r="I193" s="37"/>
    </row>
    <row r="194" spans="2:9" x14ac:dyDescent="0.25">
      <c r="B194" s="29" t="s">
        <v>17</v>
      </c>
      <c r="C194" s="30"/>
      <c r="D194" s="30"/>
      <c r="E194" s="30"/>
      <c r="F194" s="30"/>
      <c r="G194" s="30"/>
      <c r="H194" s="30"/>
      <c r="I194" s="30"/>
    </row>
    <row r="195" spans="2:9" ht="27.95" customHeight="1" x14ac:dyDescent="0.25">
      <c r="B195" s="31" t="s">
        <v>39</v>
      </c>
      <c r="C195" s="32"/>
      <c r="D195" s="33">
        <v>2</v>
      </c>
      <c r="E195" s="34" t="s">
        <v>67</v>
      </c>
      <c r="F195" s="35">
        <f>IFERROR(IF(ISNUMBER(INDEX('Signage Schedule'!$D:$D,MATCH(B195,'Signage Schedule'!$A:$A,0))),INDEX('Signage Schedule'!$D:$D,MATCH(B195,'Signage Schedule'!$A:$A,0)),0),0)</f>
        <v>30</v>
      </c>
      <c r="G195" s="36"/>
      <c r="H195" s="35"/>
      <c r="I195" s="35">
        <f t="shared" si="3"/>
        <v>60</v>
      </c>
    </row>
    <row r="196" spans="2:9" x14ac:dyDescent="0.25">
      <c r="B196" s="24" t="s">
        <v>78</v>
      </c>
      <c r="C196" s="37"/>
      <c r="D196" s="37"/>
      <c r="E196" s="37"/>
      <c r="F196" s="37"/>
      <c r="G196" s="37"/>
      <c r="H196" s="37"/>
      <c r="I196" s="37"/>
    </row>
    <row r="197" spans="2:9" x14ac:dyDescent="0.25">
      <c r="B197" s="29" t="s">
        <v>17</v>
      </c>
      <c r="C197" s="30"/>
      <c r="D197" s="30"/>
      <c r="E197" s="30"/>
      <c r="F197" s="30"/>
      <c r="G197" s="30"/>
      <c r="H197" s="30"/>
      <c r="I197" s="30"/>
    </row>
    <row r="198" spans="2:9" ht="27.95" customHeight="1" x14ac:dyDescent="0.25">
      <c r="B198" s="31" t="s">
        <v>39</v>
      </c>
      <c r="C198" s="32"/>
      <c r="D198" s="33">
        <v>2</v>
      </c>
      <c r="E198" s="34" t="s">
        <v>67</v>
      </c>
      <c r="F198" s="35">
        <f>IFERROR(IF(ISNUMBER(INDEX('Signage Schedule'!$D:$D,MATCH(B198,'Signage Schedule'!$A:$A,0))),INDEX('Signage Schedule'!$D:$D,MATCH(B198,'Signage Schedule'!$A:$A,0)),0),0)</f>
        <v>30</v>
      </c>
      <c r="G198" s="36"/>
      <c r="H198" s="35"/>
      <c r="I198" s="35">
        <f t="shared" si="3"/>
        <v>60</v>
      </c>
    </row>
    <row r="199" spans="2:9" x14ac:dyDescent="0.25">
      <c r="B199" s="24" t="s">
        <v>79</v>
      </c>
      <c r="C199" s="37"/>
      <c r="D199" s="37"/>
      <c r="E199" s="37"/>
      <c r="F199" s="37"/>
      <c r="G199" s="37"/>
      <c r="H199" s="37"/>
      <c r="I199" s="37"/>
    </row>
    <row r="200" spans="2:9" x14ac:dyDescent="0.25">
      <c r="B200" s="29" t="s">
        <v>17</v>
      </c>
      <c r="C200" s="30"/>
      <c r="D200" s="30"/>
      <c r="E200" s="30"/>
      <c r="F200" s="30"/>
      <c r="G200" s="30"/>
      <c r="H200" s="30"/>
      <c r="I200" s="30"/>
    </row>
    <row r="201" spans="2:9" ht="27.95" customHeight="1" x14ac:dyDescent="0.25">
      <c r="B201" s="31" t="s">
        <v>39</v>
      </c>
      <c r="C201" s="32"/>
      <c r="D201" s="33">
        <v>1</v>
      </c>
      <c r="E201" s="34" t="s">
        <v>67</v>
      </c>
      <c r="F201" s="35">
        <f>IFERROR(IF(ISNUMBER(INDEX('Signage Schedule'!$D:$D,MATCH(B201,'Signage Schedule'!$A:$A,0))),INDEX('Signage Schedule'!$D:$D,MATCH(B201,'Signage Schedule'!$A:$A,0)),0),0)</f>
        <v>30</v>
      </c>
      <c r="G201" s="36"/>
      <c r="H201" s="35"/>
      <c r="I201" s="35">
        <f t="shared" ref="I201" si="4">D201*F201</f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1"/>
  <sheetViews>
    <sheetView workbookViewId="0">
      <pane ySplit="1" topLeftCell="A8" activePane="bottomLeft" state="frozen"/>
      <selection pane="bottomLeft" activeCell="H12" sqref="H12"/>
    </sheetView>
  </sheetViews>
  <sheetFormatPr defaultRowHeight="15" x14ac:dyDescent="0.25"/>
  <cols>
    <col min="1" max="2" width="26" customWidth="1"/>
    <col min="3" max="3" width="34" customWidth="1"/>
    <col min="4" max="4" width="14" customWidth="1"/>
    <col min="5" max="5" width="30" customWidth="1"/>
    <col min="6" max="6" width="13" customWidth="1"/>
    <col min="7" max="7" width="8" customWidth="1"/>
    <col min="8" max="8" width="11" customWidth="1"/>
    <col min="9" max="9" width="12" customWidth="1"/>
    <col min="10" max="10" width="26" customWidth="1"/>
    <col min="11" max="11" width="8" customWidth="1"/>
    <col min="12" max="12" width="60" customWidth="1"/>
    <col min="13" max="13" width="30" customWidth="1"/>
    <col min="14" max="14" width="16" customWidth="1"/>
    <col min="15" max="15" width="12" customWidth="1"/>
    <col min="16" max="16" width="16" customWidth="1"/>
    <col min="17" max="17" width="30" customWidth="1"/>
    <col min="18" max="18" width="18" customWidth="1"/>
    <col min="19" max="19" width="20" customWidth="1"/>
    <col min="20" max="20" width="22" customWidth="1"/>
  </cols>
  <sheetData>
    <row r="1" spans="1:20" ht="30" customHeight="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</row>
    <row r="2" spans="1:20" ht="54.95" customHeight="1" x14ac:dyDescent="0.25">
      <c r="A2" s="2" t="s">
        <v>100</v>
      </c>
      <c r="B2" s="2" t="s">
        <v>9</v>
      </c>
      <c r="C2" s="2" t="s">
        <v>101</v>
      </c>
      <c r="D2" s="2" t="s">
        <v>102</v>
      </c>
      <c r="E2" s="3" t="s">
        <v>103</v>
      </c>
      <c r="F2" s="2" t="s">
        <v>104</v>
      </c>
      <c r="G2" s="2" t="s">
        <v>105</v>
      </c>
      <c r="H2" s="4">
        <v>100</v>
      </c>
      <c r="I2" s="2">
        <v>0</v>
      </c>
      <c r="J2" s="2" t="s">
        <v>106</v>
      </c>
      <c r="K2" s="2" t="b">
        <f>TRUE()</f>
        <v>1</v>
      </c>
      <c r="L2" s="3" t="s">
        <v>107</v>
      </c>
      <c r="M2" s="2" t="s">
        <v>108</v>
      </c>
      <c r="N2" s="2" t="s">
        <v>109</v>
      </c>
      <c r="O2" s="2" t="s">
        <v>110</v>
      </c>
      <c r="P2" s="2" t="s">
        <v>111</v>
      </c>
      <c r="Q2" s="3" t="s">
        <v>112</v>
      </c>
      <c r="R2" s="2" t="s">
        <v>113</v>
      </c>
      <c r="S2" s="2" t="s">
        <v>114</v>
      </c>
      <c r="T2" s="2" t="s">
        <v>115</v>
      </c>
    </row>
    <row r="3" spans="1:20" ht="54.95" customHeight="1" x14ac:dyDescent="0.25">
      <c r="A3" s="2" t="s">
        <v>116</v>
      </c>
      <c r="B3" s="2" t="s">
        <v>117</v>
      </c>
      <c r="C3" s="2" t="s">
        <v>118</v>
      </c>
      <c r="D3" s="2" t="s">
        <v>119</v>
      </c>
      <c r="E3" s="3" t="s">
        <v>120</v>
      </c>
      <c r="F3" s="2" t="s">
        <v>121</v>
      </c>
      <c r="G3" s="2" t="s">
        <v>122</v>
      </c>
      <c r="H3" s="4">
        <v>25</v>
      </c>
      <c r="I3" s="2">
        <v>0</v>
      </c>
      <c r="J3" s="2" t="s">
        <v>123</v>
      </c>
      <c r="K3" s="2" t="b">
        <f>TRUE()</f>
        <v>1</v>
      </c>
      <c r="L3" s="3" t="s">
        <v>124</v>
      </c>
      <c r="M3" s="2" t="s">
        <v>108</v>
      </c>
      <c r="N3" s="2" t="s">
        <v>109</v>
      </c>
      <c r="O3" s="2" t="s">
        <v>110</v>
      </c>
      <c r="P3" s="2" t="s">
        <v>111</v>
      </c>
      <c r="Q3" s="3" t="s">
        <v>112</v>
      </c>
      <c r="R3" s="2" t="s">
        <v>113</v>
      </c>
      <c r="S3" s="2" t="s">
        <v>125</v>
      </c>
      <c r="T3" s="2" t="s">
        <v>115</v>
      </c>
    </row>
    <row r="4" spans="1:20" ht="54.95" customHeight="1" x14ac:dyDescent="0.25">
      <c r="A4" s="2" t="s">
        <v>126</v>
      </c>
      <c r="B4" s="2" t="s">
        <v>17</v>
      </c>
      <c r="C4" s="2" t="s">
        <v>127</v>
      </c>
      <c r="D4" s="2" t="s">
        <v>128</v>
      </c>
      <c r="E4" s="3" t="s">
        <v>129</v>
      </c>
      <c r="F4" s="2" t="s">
        <v>121</v>
      </c>
      <c r="G4" s="2" t="s">
        <v>122</v>
      </c>
      <c r="H4" s="4">
        <v>85</v>
      </c>
      <c r="I4" s="2">
        <v>0</v>
      </c>
      <c r="J4" s="2" t="s">
        <v>130</v>
      </c>
      <c r="K4" s="2" t="b">
        <f>TRUE()</f>
        <v>1</v>
      </c>
      <c r="L4" s="3" t="s">
        <v>131</v>
      </c>
      <c r="M4" s="2" t="s">
        <v>108</v>
      </c>
      <c r="N4" s="2" t="s">
        <v>109</v>
      </c>
      <c r="O4" s="2" t="s">
        <v>110</v>
      </c>
      <c r="P4" s="2" t="s">
        <v>111</v>
      </c>
      <c r="Q4" s="3" t="s">
        <v>112</v>
      </c>
      <c r="R4" s="2" t="s">
        <v>113</v>
      </c>
      <c r="S4" s="2" t="s">
        <v>132</v>
      </c>
      <c r="T4" s="2" t="s">
        <v>115</v>
      </c>
    </row>
    <row r="5" spans="1:20" ht="54.95" customHeight="1" x14ac:dyDescent="0.25">
      <c r="A5" s="2" t="s">
        <v>133</v>
      </c>
      <c r="B5" s="2" t="s">
        <v>17</v>
      </c>
      <c r="C5" s="2" t="s">
        <v>134</v>
      </c>
      <c r="D5" s="2" t="s">
        <v>119</v>
      </c>
      <c r="E5" s="3" t="s">
        <v>135</v>
      </c>
      <c r="F5" s="2" t="s">
        <v>121</v>
      </c>
      <c r="G5" s="2" t="s">
        <v>122</v>
      </c>
      <c r="H5" s="4">
        <v>45</v>
      </c>
      <c r="I5" s="2">
        <v>0</v>
      </c>
      <c r="J5" s="2" t="s">
        <v>136</v>
      </c>
      <c r="K5" s="2" t="b">
        <f>TRUE()</f>
        <v>1</v>
      </c>
      <c r="L5" s="3" t="s">
        <v>137</v>
      </c>
      <c r="M5" s="2" t="s">
        <v>108</v>
      </c>
      <c r="N5" s="2" t="s">
        <v>109</v>
      </c>
      <c r="O5" s="2" t="s">
        <v>110</v>
      </c>
      <c r="P5" s="2" t="s">
        <v>111</v>
      </c>
      <c r="Q5" s="3" t="s">
        <v>112</v>
      </c>
      <c r="R5" s="2" t="s">
        <v>113</v>
      </c>
      <c r="S5" s="2" t="s">
        <v>138</v>
      </c>
      <c r="T5" s="2" t="s">
        <v>115</v>
      </c>
    </row>
    <row r="6" spans="1:20" ht="54.95" customHeight="1" x14ac:dyDescent="0.25">
      <c r="A6" s="2" t="s">
        <v>139</v>
      </c>
      <c r="B6" s="2" t="s">
        <v>17</v>
      </c>
      <c r="C6" s="2" t="s">
        <v>140</v>
      </c>
      <c r="D6" s="2" t="s">
        <v>119</v>
      </c>
      <c r="E6" s="3" t="s">
        <v>141</v>
      </c>
      <c r="F6" s="2" t="s">
        <v>121</v>
      </c>
      <c r="G6" s="2" t="s">
        <v>122</v>
      </c>
      <c r="H6" s="4">
        <v>50</v>
      </c>
      <c r="I6" s="2">
        <v>0</v>
      </c>
      <c r="J6" s="2" t="s">
        <v>142</v>
      </c>
      <c r="K6" s="2" t="b">
        <f>TRUE()</f>
        <v>1</v>
      </c>
      <c r="L6" s="3" t="s">
        <v>143</v>
      </c>
      <c r="M6" s="2" t="s">
        <v>108</v>
      </c>
      <c r="N6" s="2" t="s">
        <v>109</v>
      </c>
      <c r="O6" s="2" t="s">
        <v>110</v>
      </c>
      <c r="P6" s="2" t="s">
        <v>111</v>
      </c>
      <c r="Q6" s="3" t="s">
        <v>112</v>
      </c>
      <c r="R6" s="2" t="s">
        <v>113</v>
      </c>
      <c r="S6" s="2" t="s">
        <v>114</v>
      </c>
      <c r="T6" s="2" t="s">
        <v>115</v>
      </c>
    </row>
    <row r="7" spans="1:20" ht="54.95" customHeight="1" x14ac:dyDescent="0.25">
      <c r="A7" s="2" t="s">
        <v>144</v>
      </c>
      <c r="B7" s="2" t="s">
        <v>17</v>
      </c>
      <c r="C7" s="2" t="s">
        <v>27</v>
      </c>
      <c r="D7" s="2" t="s">
        <v>145</v>
      </c>
      <c r="E7" s="3" t="s">
        <v>135</v>
      </c>
      <c r="F7" s="2" t="s">
        <v>121</v>
      </c>
      <c r="G7" s="2" t="s">
        <v>122</v>
      </c>
      <c r="H7" s="4">
        <v>50</v>
      </c>
      <c r="I7" s="2">
        <v>0</v>
      </c>
      <c r="J7" s="2" t="s">
        <v>142</v>
      </c>
      <c r="K7" s="2" t="b">
        <f>TRUE()</f>
        <v>1</v>
      </c>
      <c r="L7" s="3" t="s">
        <v>146</v>
      </c>
      <c r="M7" s="2" t="s">
        <v>108</v>
      </c>
      <c r="N7" s="2" t="s">
        <v>109</v>
      </c>
      <c r="O7" s="2" t="s">
        <v>110</v>
      </c>
      <c r="P7" s="2" t="s">
        <v>111</v>
      </c>
      <c r="Q7" s="3" t="s">
        <v>112</v>
      </c>
      <c r="R7" s="2" t="s">
        <v>113</v>
      </c>
      <c r="S7" s="2" t="s">
        <v>114</v>
      </c>
      <c r="T7" s="2" t="s">
        <v>115</v>
      </c>
    </row>
    <row r="8" spans="1:20" ht="54.95" customHeight="1" x14ac:dyDescent="0.25">
      <c r="A8" s="2" t="s">
        <v>147</v>
      </c>
      <c r="B8" s="2" t="s">
        <v>148</v>
      </c>
      <c r="C8" s="2" t="s">
        <v>149</v>
      </c>
      <c r="D8" s="2" t="s">
        <v>145</v>
      </c>
      <c r="E8" s="3" t="s">
        <v>150</v>
      </c>
      <c r="F8" s="2" t="s">
        <v>121</v>
      </c>
      <c r="G8" s="2" t="s">
        <v>122</v>
      </c>
      <c r="H8" s="4">
        <v>50</v>
      </c>
      <c r="I8" s="2">
        <v>0</v>
      </c>
      <c r="J8" s="2" t="s">
        <v>142</v>
      </c>
      <c r="K8" s="2" t="b">
        <f>TRUE()</f>
        <v>1</v>
      </c>
      <c r="L8" s="3" t="s">
        <v>151</v>
      </c>
      <c r="M8" s="2" t="s">
        <v>108</v>
      </c>
      <c r="N8" s="2" t="s">
        <v>109</v>
      </c>
      <c r="O8" s="2" t="s">
        <v>110</v>
      </c>
      <c r="P8" s="2" t="s">
        <v>111</v>
      </c>
      <c r="Q8" s="3" t="s">
        <v>112</v>
      </c>
      <c r="R8" s="2" t="s">
        <v>113</v>
      </c>
      <c r="S8" s="2" t="s">
        <v>152</v>
      </c>
      <c r="T8" s="2" t="s">
        <v>115</v>
      </c>
    </row>
    <row r="9" spans="1:20" ht="54.95" customHeight="1" x14ac:dyDescent="0.25">
      <c r="A9" s="2" t="s">
        <v>153</v>
      </c>
      <c r="B9" s="2" t="s">
        <v>148</v>
      </c>
      <c r="C9" s="2" t="s">
        <v>154</v>
      </c>
      <c r="D9" s="2" t="s">
        <v>155</v>
      </c>
      <c r="E9" s="3" t="s">
        <v>156</v>
      </c>
      <c r="F9" s="2" t="s">
        <v>121</v>
      </c>
      <c r="G9" s="2" t="s">
        <v>122</v>
      </c>
      <c r="H9" s="4">
        <v>85</v>
      </c>
      <c r="I9" s="2">
        <v>0</v>
      </c>
      <c r="J9" s="2" t="s">
        <v>130</v>
      </c>
      <c r="K9" s="2" t="b">
        <f>TRUE()</f>
        <v>1</v>
      </c>
      <c r="L9" s="3" t="s">
        <v>157</v>
      </c>
      <c r="M9" s="2" t="s">
        <v>108</v>
      </c>
      <c r="N9" s="2" t="s">
        <v>109</v>
      </c>
      <c r="O9" s="2" t="s">
        <v>110</v>
      </c>
      <c r="P9" s="2" t="s">
        <v>111</v>
      </c>
      <c r="Q9" s="3" t="s">
        <v>112</v>
      </c>
      <c r="R9" s="2" t="s">
        <v>113</v>
      </c>
      <c r="S9" s="2" t="s">
        <v>158</v>
      </c>
      <c r="T9" s="2" t="s">
        <v>115</v>
      </c>
    </row>
    <row r="10" spans="1:20" ht="54.95" customHeight="1" x14ac:dyDescent="0.25">
      <c r="A10" s="2" t="s">
        <v>147</v>
      </c>
      <c r="B10" s="2" t="s">
        <v>148</v>
      </c>
      <c r="C10" s="2" t="s">
        <v>149</v>
      </c>
      <c r="D10" s="2" t="s">
        <v>145</v>
      </c>
      <c r="E10" s="3" t="s">
        <v>150</v>
      </c>
      <c r="F10" s="2" t="s">
        <v>121</v>
      </c>
      <c r="G10" s="2" t="s">
        <v>122</v>
      </c>
      <c r="H10" s="4">
        <v>50</v>
      </c>
      <c r="I10" s="2">
        <v>0</v>
      </c>
      <c r="J10" s="2" t="s">
        <v>142</v>
      </c>
      <c r="K10" s="2" t="b">
        <f>TRUE()</f>
        <v>1</v>
      </c>
      <c r="L10" s="3" t="s">
        <v>159</v>
      </c>
      <c r="M10" s="2" t="s">
        <v>108</v>
      </c>
      <c r="N10" s="2" t="s">
        <v>109</v>
      </c>
      <c r="O10" s="2" t="s">
        <v>110</v>
      </c>
      <c r="P10" s="2" t="s">
        <v>111</v>
      </c>
      <c r="Q10" s="3" t="s">
        <v>112</v>
      </c>
      <c r="R10" s="2" t="s">
        <v>113</v>
      </c>
      <c r="S10" s="2" t="s">
        <v>152</v>
      </c>
      <c r="T10" s="2" t="s">
        <v>115</v>
      </c>
    </row>
    <row r="11" spans="1:20" ht="54.95" customHeight="1" x14ac:dyDescent="0.25">
      <c r="A11" s="2" t="s">
        <v>160</v>
      </c>
      <c r="B11" s="2" t="s">
        <v>117</v>
      </c>
      <c r="C11" s="2" t="s">
        <v>161</v>
      </c>
      <c r="D11" s="2" t="s">
        <v>155</v>
      </c>
      <c r="E11" s="3" t="s">
        <v>162</v>
      </c>
      <c r="F11" s="2" t="s">
        <v>121</v>
      </c>
      <c r="G11" s="2" t="s">
        <v>122</v>
      </c>
      <c r="H11" s="4">
        <v>50</v>
      </c>
      <c r="I11" s="2">
        <v>0</v>
      </c>
      <c r="J11" s="2" t="s">
        <v>142</v>
      </c>
      <c r="K11" s="2" t="b">
        <f>TRUE()</f>
        <v>1</v>
      </c>
      <c r="L11" s="3" t="s">
        <v>163</v>
      </c>
      <c r="M11" s="2" t="s">
        <v>108</v>
      </c>
      <c r="N11" s="2" t="s">
        <v>109</v>
      </c>
      <c r="O11" s="2" t="s">
        <v>110</v>
      </c>
      <c r="P11" s="2" t="s">
        <v>111</v>
      </c>
      <c r="Q11" s="3" t="s">
        <v>112</v>
      </c>
      <c r="R11" s="2" t="s">
        <v>113</v>
      </c>
      <c r="S11" s="2" t="s">
        <v>164</v>
      </c>
      <c r="T11" s="2" t="s">
        <v>115</v>
      </c>
    </row>
    <row r="12" spans="1:20" ht="54.95" customHeight="1" x14ac:dyDescent="0.25">
      <c r="A12" s="2" t="s">
        <v>144</v>
      </c>
      <c r="B12" s="2" t="s">
        <v>17</v>
      </c>
      <c r="C12" s="2" t="s">
        <v>27</v>
      </c>
      <c r="D12" s="2" t="s">
        <v>145</v>
      </c>
      <c r="E12" s="3" t="s">
        <v>135</v>
      </c>
      <c r="F12" s="2" t="s">
        <v>121</v>
      </c>
      <c r="G12" s="2" t="s">
        <v>122</v>
      </c>
      <c r="H12" s="4">
        <v>50</v>
      </c>
      <c r="I12" s="2">
        <v>0</v>
      </c>
      <c r="J12" s="2" t="s">
        <v>142</v>
      </c>
      <c r="K12" s="2" t="b">
        <f>TRUE()</f>
        <v>1</v>
      </c>
      <c r="L12" s="3" t="s">
        <v>165</v>
      </c>
      <c r="M12" s="2" t="s">
        <v>108</v>
      </c>
      <c r="N12" s="2" t="s">
        <v>109</v>
      </c>
      <c r="O12" s="2" t="s">
        <v>110</v>
      </c>
      <c r="P12" s="2" t="s">
        <v>111</v>
      </c>
      <c r="Q12" s="3" t="s">
        <v>112</v>
      </c>
      <c r="R12" s="2" t="s">
        <v>113</v>
      </c>
      <c r="S12" s="2" t="s">
        <v>114</v>
      </c>
      <c r="T12" s="2" t="s">
        <v>115</v>
      </c>
    </row>
    <row r="13" spans="1:20" ht="54.95" customHeight="1" x14ac:dyDescent="0.25">
      <c r="A13" s="2" t="s">
        <v>166</v>
      </c>
      <c r="B13" s="2" t="s">
        <v>17</v>
      </c>
      <c r="C13" s="2" t="s">
        <v>167</v>
      </c>
      <c r="D13" s="2" t="s">
        <v>119</v>
      </c>
      <c r="E13" s="3" t="s">
        <v>141</v>
      </c>
      <c r="F13" s="2" t="s">
        <v>121</v>
      </c>
      <c r="G13" s="2" t="s">
        <v>122</v>
      </c>
      <c r="H13" s="4">
        <v>30</v>
      </c>
      <c r="I13" s="2">
        <v>0</v>
      </c>
      <c r="J13" s="2" t="s">
        <v>168</v>
      </c>
      <c r="K13" s="2" t="b">
        <f>TRUE()</f>
        <v>1</v>
      </c>
      <c r="L13" s="3" t="s">
        <v>169</v>
      </c>
      <c r="M13" s="2" t="s">
        <v>108</v>
      </c>
      <c r="N13" s="2" t="s">
        <v>109</v>
      </c>
      <c r="O13" s="2" t="s">
        <v>110</v>
      </c>
      <c r="P13" s="2" t="s">
        <v>111</v>
      </c>
      <c r="Q13" s="3" t="s">
        <v>112</v>
      </c>
      <c r="R13" s="2" t="s">
        <v>113</v>
      </c>
      <c r="S13" s="2" t="s">
        <v>114</v>
      </c>
      <c r="T13" s="2" t="s">
        <v>115</v>
      </c>
    </row>
    <row r="14" spans="1:20" ht="54.95" customHeight="1" x14ac:dyDescent="0.25">
      <c r="A14" s="2" t="s">
        <v>139</v>
      </c>
      <c r="B14" s="2" t="s">
        <v>17</v>
      </c>
      <c r="C14" s="2" t="s">
        <v>140</v>
      </c>
      <c r="D14" s="2" t="s">
        <v>119</v>
      </c>
      <c r="E14" s="3" t="s">
        <v>141</v>
      </c>
      <c r="F14" s="2" t="s">
        <v>121</v>
      </c>
      <c r="G14" s="2" t="s">
        <v>122</v>
      </c>
      <c r="H14" s="4">
        <v>50</v>
      </c>
      <c r="I14" s="2">
        <v>0</v>
      </c>
      <c r="J14" s="2" t="s">
        <v>142</v>
      </c>
      <c r="K14" s="2" t="b">
        <f>TRUE()</f>
        <v>1</v>
      </c>
      <c r="L14" s="3" t="s">
        <v>170</v>
      </c>
      <c r="M14" s="2" t="s">
        <v>108</v>
      </c>
      <c r="N14" s="2" t="s">
        <v>109</v>
      </c>
      <c r="O14" s="2" t="s">
        <v>110</v>
      </c>
      <c r="P14" s="2" t="s">
        <v>111</v>
      </c>
      <c r="Q14" s="3" t="s">
        <v>112</v>
      </c>
      <c r="R14" s="2" t="s">
        <v>113</v>
      </c>
      <c r="S14" s="2" t="s">
        <v>114</v>
      </c>
      <c r="T14" s="2" t="s">
        <v>115</v>
      </c>
    </row>
    <row r="15" spans="1:20" ht="54.95" customHeight="1" x14ac:dyDescent="0.25">
      <c r="A15" s="2" t="s">
        <v>171</v>
      </c>
      <c r="B15" s="2" t="s">
        <v>17</v>
      </c>
      <c r="C15" s="2" t="s">
        <v>172</v>
      </c>
      <c r="D15" s="2" t="s">
        <v>145</v>
      </c>
      <c r="E15" s="3" t="s">
        <v>135</v>
      </c>
      <c r="F15" s="2" t="s">
        <v>121</v>
      </c>
      <c r="G15" s="2" t="s">
        <v>122</v>
      </c>
      <c r="H15" s="4">
        <v>50</v>
      </c>
      <c r="I15" s="2">
        <v>0</v>
      </c>
      <c r="J15" s="2" t="s">
        <v>142</v>
      </c>
      <c r="K15" s="2" t="b">
        <f>TRUE()</f>
        <v>1</v>
      </c>
      <c r="L15" s="3" t="s">
        <v>173</v>
      </c>
      <c r="M15" s="2" t="s">
        <v>108</v>
      </c>
      <c r="N15" s="2" t="s">
        <v>109</v>
      </c>
      <c r="O15" s="2" t="s">
        <v>110</v>
      </c>
      <c r="P15" s="2" t="s">
        <v>111</v>
      </c>
      <c r="Q15" s="3" t="s">
        <v>112</v>
      </c>
      <c r="R15" s="2" t="s">
        <v>113</v>
      </c>
      <c r="S15" s="2" t="s">
        <v>174</v>
      </c>
      <c r="T15" s="2" t="s">
        <v>115</v>
      </c>
    </row>
    <row r="16" spans="1:20" ht="54.95" customHeight="1" x14ac:dyDescent="0.25">
      <c r="A16" s="2" t="s">
        <v>175</v>
      </c>
      <c r="B16" s="2" t="s">
        <v>17</v>
      </c>
      <c r="C16" s="2" t="s">
        <v>176</v>
      </c>
      <c r="D16" s="2" t="s">
        <v>177</v>
      </c>
      <c r="E16" s="3" t="s">
        <v>178</v>
      </c>
      <c r="F16" s="2" t="s">
        <v>121</v>
      </c>
      <c r="G16" s="2" t="s">
        <v>179</v>
      </c>
      <c r="H16" s="4">
        <v>400</v>
      </c>
      <c r="I16" s="2">
        <v>0</v>
      </c>
      <c r="J16" s="2" t="s">
        <v>180</v>
      </c>
      <c r="K16" s="2" t="b">
        <f>TRUE()</f>
        <v>1</v>
      </c>
      <c r="L16" s="3" t="s">
        <v>181</v>
      </c>
      <c r="M16" s="2" t="s">
        <v>108</v>
      </c>
      <c r="N16" s="2" t="s">
        <v>109</v>
      </c>
      <c r="O16" s="2" t="s">
        <v>110</v>
      </c>
      <c r="P16" s="2" t="s">
        <v>111</v>
      </c>
      <c r="Q16" s="3" t="s">
        <v>112</v>
      </c>
      <c r="R16" s="2" t="s">
        <v>113</v>
      </c>
      <c r="S16" s="2" t="s">
        <v>114</v>
      </c>
      <c r="T16" s="2" t="s">
        <v>115</v>
      </c>
    </row>
    <row r="17" spans="1:20" ht="54.95" customHeight="1" x14ac:dyDescent="0.25">
      <c r="A17" s="2" t="s">
        <v>171</v>
      </c>
      <c r="B17" s="2" t="s">
        <v>17</v>
      </c>
      <c r="C17" s="2" t="s">
        <v>172</v>
      </c>
      <c r="D17" s="2" t="s">
        <v>145</v>
      </c>
      <c r="E17" s="3" t="s">
        <v>135</v>
      </c>
      <c r="F17" s="2" t="s">
        <v>121</v>
      </c>
      <c r="G17" s="2" t="s">
        <v>122</v>
      </c>
      <c r="H17" s="4">
        <v>50</v>
      </c>
      <c r="I17" s="2">
        <v>0</v>
      </c>
      <c r="J17" s="2" t="s">
        <v>142</v>
      </c>
      <c r="K17" s="2" t="b">
        <f>TRUE()</f>
        <v>1</v>
      </c>
      <c r="L17" s="3" t="s">
        <v>182</v>
      </c>
      <c r="M17" s="2" t="s">
        <v>108</v>
      </c>
      <c r="N17" s="2" t="s">
        <v>109</v>
      </c>
      <c r="O17" s="2" t="s">
        <v>110</v>
      </c>
      <c r="P17" s="2" t="s">
        <v>111</v>
      </c>
      <c r="Q17" s="3" t="s">
        <v>112</v>
      </c>
      <c r="R17" s="2" t="s">
        <v>113</v>
      </c>
      <c r="S17" s="2" t="s">
        <v>174</v>
      </c>
      <c r="T17" s="2" t="s">
        <v>115</v>
      </c>
    </row>
    <row r="18" spans="1:20" ht="54.95" customHeight="1" x14ac:dyDescent="0.25">
      <c r="A18" s="2" t="s">
        <v>183</v>
      </c>
      <c r="B18" s="2" t="s">
        <v>17</v>
      </c>
      <c r="C18" s="2" t="s">
        <v>184</v>
      </c>
      <c r="D18" s="2" t="s">
        <v>145</v>
      </c>
      <c r="E18" s="3" t="s">
        <v>135</v>
      </c>
      <c r="F18" s="2" t="s">
        <v>121</v>
      </c>
      <c r="G18" s="2" t="s">
        <v>122</v>
      </c>
      <c r="H18" s="4">
        <v>60</v>
      </c>
      <c r="I18" s="2">
        <v>0</v>
      </c>
      <c r="J18" s="2" t="s">
        <v>185</v>
      </c>
      <c r="K18" s="2" t="b">
        <f>TRUE()</f>
        <v>1</v>
      </c>
      <c r="L18" s="3" t="s">
        <v>186</v>
      </c>
      <c r="M18" s="2" t="s">
        <v>108</v>
      </c>
      <c r="N18" s="2" t="s">
        <v>109</v>
      </c>
      <c r="O18" s="2" t="s">
        <v>110</v>
      </c>
      <c r="P18" s="2" t="s">
        <v>111</v>
      </c>
      <c r="Q18" s="3" t="s">
        <v>112</v>
      </c>
      <c r="R18" s="2" t="s">
        <v>113</v>
      </c>
      <c r="S18" s="2" t="s">
        <v>174</v>
      </c>
      <c r="T18" s="2" t="s">
        <v>115</v>
      </c>
    </row>
    <row r="19" spans="1:20" ht="54.95" customHeight="1" x14ac:dyDescent="0.25">
      <c r="A19" s="2" t="s">
        <v>187</v>
      </c>
      <c r="B19" s="2" t="s">
        <v>148</v>
      </c>
      <c r="C19" s="2" t="s">
        <v>188</v>
      </c>
      <c r="D19" s="2" t="s">
        <v>119</v>
      </c>
      <c r="E19" s="3" t="s">
        <v>120</v>
      </c>
      <c r="F19" s="2" t="s">
        <v>121</v>
      </c>
      <c r="G19" s="2" t="s">
        <v>122</v>
      </c>
      <c r="H19" s="4">
        <v>30</v>
      </c>
      <c r="I19" s="2">
        <v>0</v>
      </c>
      <c r="J19" s="2" t="s">
        <v>168</v>
      </c>
      <c r="K19" s="2" t="b">
        <f>TRUE()</f>
        <v>1</v>
      </c>
      <c r="L19" s="3" t="s">
        <v>189</v>
      </c>
      <c r="M19" s="2" t="s">
        <v>108</v>
      </c>
      <c r="N19" s="2" t="s">
        <v>109</v>
      </c>
      <c r="O19" s="2" t="s">
        <v>110</v>
      </c>
      <c r="P19" s="2" t="s">
        <v>111</v>
      </c>
      <c r="Q19" s="3" t="s">
        <v>112</v>
      </c>
      <c r="R19" s="2" t="s">
        <v>113</v>
      </c>
      <c r="S19" s="2" t="s">
        <v>190</v>
      </c>
      <c r="T19" s="2" t="s">
        <v>115</v>
      </c>
    </row>
    <row r="21" spans="1:20" x14ac:dyDescent="0.25">
      <c r="A2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Signage Schedule</vt:lpstr>
      <vt:lpstr>Estimating Sheet</vt:lpstr>
      <vt:lpstr>Rate 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Lester Tan</cp:lastModifiedBy>
  <dcterms:created xsi:type="dcterms:W3CDTF">2026-08-10T06:12:16Z</dcterms:created>
  <dcterms:modified xsi:type="dcterms:W3CDTF">2026-08-11T15:30:06Z</dcterms:modified>
</cp:coreProperties>
</file>